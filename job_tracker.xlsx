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plications" sheetId="1" state="visible" r:id="rId1"/>
    <sheet name="EmailLog" sheetId="2" state="visible" r:id="rId2"/>
    <sheet name="Dashboard" sheetId="3" state="visible" r:id="rId3"/>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yyyy-mm-dd hh:mm"/>
  </numFmts>
  <fonts count="5">
    <font>
      <name val="Calibri"/>
      <family val="2"/>
      <color theme="1"/>
      <sz val="11"/>
      <scheme val="minor"/>
    </font>
    <font>
      <b val="1"/>
      <color rgb="00FFFFFF"/>
    </font>
    <font>
      <name val="Calibri"/>
      <family val="2"/>
      <color theme="10"/>
      <sz val="12"/>
      <scheme val="minor"/>
    </font>
    <font>
      <b val="1"/>
      <sz val="16"/>
    </font>
    <font>
      <b val="1"/>
    </font>
  </fonts>
  <fills count="9">
    <fill>
      <patternFill/>
    </fill>
    <fill>
      <patternFill patternType="gray125"/>
    </fill>
    <fill>
      <patternFill patternType="solid">
        <fgColor rgb="001F4E78"/>
      </patternFill>
    </fill>
    <fill>
      <patternFill patternType="solid">
        <fgColor rgb="00C6EFCE"/>
      </patternFill>
    </fill>
    <fill>
      <patternFill patternType="solid">
        <fgColor rgb="00DDEBF7"/>
      </patternFill>
    </fill>
    <fill>
      <patternFill patternType="solid">
        <fgColor rgb="00FFC7CE"/>
      </patternFill>
    </fill>
    <fill>
      <patternFill patternType="solid">
        <fgColor rgb="00FFEB9C"/>
      </patternFill>
    </fill>
    <fill>
      <patternFill patternType="solid">
        <fgColor rgb="00D9D9D9"/>
      </patternFill>
    </fill>
    <fill>
      <patternFill patternType="solid">
        <fgColor rgb="00FCE4D6"/>
      </patternFill>
    </fill>
  </fills>
  <borders count="1">
    <border>
      <left/>
      <right/>
      <top/>
      <bottom/>
      <diagonal/>
    </border>
  </borders>
  <cellStyleXfs count="2">
    <xf numFmtId="0" fontId="0" fillId="0" borderId="0"/>
    <xf numFmtId="0" fontId="2" fillId="0" borderId="0"/>
  </cellStyleXfs>
  <cellXfs count="16">
    <xf numFmtId="0" fontId="0" fillId="0" borderId="0" pivotButton="0" quotePrefix="0" xfId="0"/>
    <xf numFmtId="0" fontId="1" fillId="2" borderId="0" applyAlignment="1" pivotButton="0" quotePrefix="0" xfId="0">
      <alignment horizontal="center" vertical="center" wrapText="1"/>
    </xf>
    <xf numFmtId="165" fontId="0" fillId="0" borderId="0" pivotButton="0" quotePrefix="0" xfId="0"/>
    <xf numFmtId="1" fontId="0" fillId="0" borderId="0" pivotButton="0" quotePrefix="0" xfId="0"/>
    <xf numFmtId="0" fontId="0" fillId="0" borderId="0" applyAlignment="1" pivotButton="0" quotePrefix="0" xfId="0">
      <alignment vertical="top" wrapText="1"/>
    </xf>
    <xf numFmtId="0" fontId="2" fillId="0" borderId="0" pivotButton="0" quotePrefix="0" xfId="1"/>
    <xf numFmtId="2" fontId="0" fillId="0" borderId="0" pivotButton="0" quotePrefix="0" xfId="0"/>
    <xf numFmtId="166" fontId="0" fillId="0" borderId="0" pivotButton="0" quotePrefix="0" xfId="0"/>
    <xf numFmtId="0" fontId="3" fillId="0" borderId="0" pivotButton="0" quotePrefix="0" xfId="0"/>
    <xf numFmtId="0" fontId="4" fillId="0"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cellXfs>
  <cellStyles count="2">
    <cellStyle name="Normal" xfId="0" builtinId="0" hidden="0"/>
    <cellStyle name="Hyperlink" xfId="1" builtinId="8" hidden="0"/>
  </cellStyles>
  <dxfs count="6">
    <dxf>
      <fill>
        <patternFill patternType="solid">
          <fgColor rgb="00C6EFCE"/>
        </patternFill>
      </fill>
    </dxf>
    <dxf>
      <fill>
        <patternFill patternType="solid">
          <fgColor rgb="00FFC7CE"/>
        </patternFill>
      </fill>
    </dxf>
    <dxf>
      <fill>
        <patternFill patternType="solid">
          <fgColor rgb="00FFEB9C"/>
        </patternFill>
      </fill>
    </dxf>
    <dxf>
      <fill>
        <patternFill patternType="solid">
          <fgColor rgb="00D9D9D9"/>
        </patternFill>
      </fill>
    </dxf>
    <dxf>
      <fill>
        <patternFill patternType="solid">
          <fgColor rgb="00DDEBF7"/>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Status Counts</a:t>
            </a:r>
          </a:p>
        </rich>
      </tx>
    </title>
    <plotArea>
      <barChart>
        <barDir val="col"/>
        <grouping val="clustered"/>
        <ser>
          <idx val="0"/>
          <order val="0"/>
          <tx>
            <strRef>
              <f>'Dashboard'!B11</f>
            </strRef>
          </tx>
          <spPr>
            <a:ln>
              <a:prstDash val="solid"/>
            </a:ln>
          </spPr>
          <cat>
            <numRef>
              <f>'Dashboard'!$A$12:$A$15</f>
            </numRef>
          </cat>
          <val>
            <numRef>
              <f>'Dashboard'!$B$12:$B$15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Applications by Source</a:t>
            </a:r>
          </a:p>
        </rich>
      </tx>
    </title>
    <plotArea>
      <barChart>
        <barDir val="col"/>
        <grouping val="clustered"/>
        <ser>
          <idx val="0"/>
          <order val="0"/>
          <tx>
            <strRef>
              <f>'Dashboard'!E11</f>
            </strRef>
          </tx>
          <spPr>
            <a:ln>
              <a:prstDash val="solid"/>
            </a:ln>
          </spPr>
          <cat>
            <numRef>
              <f>'Dashboard'!$D$12:$D$14</f>
            </numRef>
          </cat>
          <val>
            <numRef>
              <f>'Dashboard'!$E$12:$E$14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2</row>
      <rowOff>0</rowOff>
    </from>
    <ext cx="3600000" cy="216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17</row>
      <rowOff>0</rowOff>
    </from>
    <ext cx="3600000" cy="216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ApplicationsTable" displayName="ApplicationsTable" ref="A1:AA40" headerRowCount="1">
  <autoFilter ref="A1:AA40"/>
  <tableColumns count="27">
    <tableColumn id="1" name="RecordID"/>
    <tableColumn id="2" name="Company"/>
    <tableColumn id="3" name="Role"/>
    <tableColumn id="4" name="Location"/>
    <tableColumn id="5" name="ReqID_JobID"/>
    <tableColumn id="6" name="JobURL"/>
    <tableColumn id="7" name="Source"/>
    <tableColumn id="8" name="Status"/>
    <tableColumn id="9" name="StatusDate"/>
    <tableColumn id="10" name="DateFirstSeen"/>
    <tableColumn id="11" name="DateApplied"/>
    <tableColumn id="12" name="LastEmailDate"/>
    <tableColumn id="13" name="FollowUpDue"/>
    <tableColumn id="14" name="DaysSinceLastEmail"/>
    <tableColumn id="15" name="RecruiterName"/>
    <tableColumn id="16" name="RecruiterEmail"/>
    <tableColumn id="17" name="NextStep"/>
    <tableColumn id="18" name="Notes"/>
    <tableColumn id="19" name="EmailThreadLink"/>
    <tableColumn id="20" name="LastMessageID"/>
    <tableColumn id="21" name="Confidence"/>
    <tableColumn id="22" name="MatchedBy"/>
    <tableColumn id="23" name="LastDetectedType"/>
    <tableColumn id="24" name="TrackingCategory"/>
    <tableColumn id="25" name="UserLockStatus"/>
    <tableColumn id="26" name="UserLockNotes"/>
    <tableColumn id="27" name="UserLockNextStep"/>
  </tableColumns>
  <tableStyleInfo name="TableStyleMedium9" showFirstColumn="0" showLastColumn="0" showRowStripes="1" showColumnStripes="0"/>
</table>
</file>

<file path=xl/tables/table2.xml><?xml version="1.0" encoding="utf-8"?>
<table xmlns="http://schemas.openxmlformats.org/spreadsheetml/2006/main" id="2" name="EmailLogTable" displayName="EmailLogTable" ref="A1:I42" headerRowCount="1">
  <autoFilter ref="A1:I42"/>
  <tableColumns count="9">
    <tableColumn id="1" name="MessageID"/>
    <tableColumn id="2" name="ThreadID"/>
    <tableColumn id="3" name="ReceivedDate"/>
    <tableColumn id="4" name="From"/>
    <tableColumn id="5" name="Subject"/>
    <tableColumn id="6" name="DetectedType"/>
    <tableColumn id="7" name="LinkedRecordID"/>
    <tableColumn id="8" name="ExtractorNotes"/>
    <tableColumn id="9" name="RawSnippe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map://Inbox;uidvalidity=1313110027;uid=398073" TargetMode="External" Id="rId1" /><Relationship Type="http://schemas.openxmlformats.org/officeDocument/2006/relationships/hyperlink" Target="imap://Inbox;uidvalidity=1313110027;uid=398043" TargetMode="External" Id="rId2" /><Relationship Type="http://schemas.openxmlformats.org/officeDocument/2006/relationships/hyperlink" Target="https://recruiting2.ultipro.com/CAR1054CGMA/JobBoard/49be3260-4e42-4260-b93e-6c36c2807ea9&quot;" TargetMode="External" Id="rId3" /><Relationship Type="http://schemas.openxmlformats.org/officeDocument/2006/relationships/hyperlink" Target="imap://Inbox;uidvalidity=1313110027;uid=398023" TargetMode="External" Id="rId4" /><Relationship Type="http://schemas.openxmlformats.org/officeDocument/2006/relationships/hyperlink" Target="imap://Inbox;uidvalidity=1313110027;uid=398007" TargetMode="External" Id="rId5" /><Relationship Type="http://schemas.openxmlformats.org/officeDocument/2006/relationships/hyperlink" Target="imap://Inbox;uidvalidity=1313110027;uid=397988" TargetMode="External" Id="rId6" /><Relationship Type="http://schemas.openxmlformats.org/officeDocument/2006/relationships/hyperlink" Target="imap://Inbox;uidvalidity=1313110027;uid=397958" TargetMode="External" Id="rId7" /><Relationship Type="http://schemas.openxmlformats.org/officeDocument/2006/relationships/hyperlink" Target="imap://Inbox;uidvalidity=1313110027;uid=397939" TargetMode="External" Id="rId8" /><Relationship Type="http://schemas.openxmlformats.org/officeDocument/2006/relationships/hyperlink" Target="https://www.dice.com/jobs" TargetMode="External" Id="rId9" /><Relationship Type="http://schemas.openxmlformats.org/officeDocument/2006/relationships/hyperlink" Target="imap://Inbox;uidvalidity=1313110027;uid=397907" TargetMode="External" Id="rId10" /><Relationship Type="http://schemas.openxmlformats.org/officeDocument/2006/relationships/hyperlink" Target="imap://Inbox;uidvalidity=1313110027;uid=397878" TargetMode="External" Id="rId11" /><Relationship Type="http://schemas.openxmlformats.org/officeDocument/2006/relationships/hyperlink" Target="imap://Inbox;uidvalidity=1313110027;uid=397862" TargetMode="External" Id="rId12" /><Relationship Type="http://schemas.openxmlformats.org/officeDocument/2006/relationships/hyperlink" Target="imap://Inbox;uidvalidity=1313110027;uid=397858" TargetMode="External" Id="rId13" /><Relationship Type="http://schemas.openxmlformats.org/officeDocument/2006/relationships/hyperlink" Target="imap://Inbox;uidvalidity=1313110027;uid=397854" TargetMode="External" Id="rId14" /><Relationship Type="http://schemas.openxmlformats.org/officeDocument/2006/relationships/hyperlink" Target="imap://Inbox;uidvalidity=1313110027;uid=397853" TargetMode="External" Id="rId15" /><Relationship Type="http://schemas.openxmlformats.org/officeDocument/2006/relationships/hyperlink" Target="imap://Inbox;uidvalidity=1313110027;uid=397852" TargetMode="External" Id="rId16" /><Relationship Type="http://schemas.openxmlformats.org/officeDocument/2006/relationships/hyperlink" Target="imap://Inbox;uidvalidity=1313110027;uid=397824" TargetMode="External" Id="rId17" /><Relationship Type="http://schemas.openxmlformats.org/officeDocument/2006/relationships/hyperlink" Target="imap://Inbox;uidvalidity=1313110027;uid=397817" TargetMode="External" Id="rId18" /><Relationship Type="http://schemas.openxmlformats.org/officeDocument/2006/relationships/hyperlink" Target="imap://Inbox;uidvalidity=1313110027;uid=397810" TargetMode="External" Id="rId19" /><Relationship Type="http://schemas.openxmlformats.org/officeDocument/2006/relationships/hyperlink" Target="imap://Inbox;uidvalidity=1313110027;uid=397808" TargetMode="External" Id="rId20" /><Relationship Type="http://schemas.openxmlformats.org/officeDocument/2006/relationships/hyperlink" Target="imap://Inbox;uidvalidity=1313110027;uid=397787" TargetMode="External" Id="rId21" /><Relationship Type="http://schemas.openxmlformats.org/officeDocument/2006/relationships/hyperlink" Target="imap://Inbox;uidvalidity=1313110027;uid=397786" TargetMode="External" Id="rId22" /><Relationship Type="http://schemas.openxmlformats.org/officeDocument/2006/relationships/hyperlink" Target="imap://Inbox;uidvalidity=1313110027;uid=397785" TargetMode="External" Id="rId23" /><Relationship Type="http://schemas.openxmlformats.org/officeDocument/2006/relationships/hyperlink" Target="imap://Inbox;uidvalidity=1313110027;uid=397784" TargetMode="External" Id="rId24" /><Relationship Type="http://schemas.openxmlformats.org/officeDocument/2006/relationships/hyperlink" Target="imap://Inbox;uidvalidity=1313110027;uid=397783" TargetMode="External" Id="rId25" /><Relationship Type="http://schemas.openxmlformats.org/officeDocument/2006/relationships/hyperlink" Target="imap://Inbox;uidvalidity=1313110027;uid=397772" TargetMode="External" Id="rId26" /><Relationship Type="http://schemas.openxmlformats.org/officeDocument/2006/relationships/hyperlink" Target="imap://Inbox;uidvalidity=1313110027;uid=397759" TargetMode="External" Id="rId27" /><Relationship Type="http://schemas.openxmlformats.org/officeDocument/2006/relationships/hyperlink" Target="imap://Inbox;uidvalidity=1313110027;uid=397758" TargetMode="External" Id="rId28" /><Relationship Type="http://schemas.openxmlformats.org/officeDocument/2006/relationships/hyperlink" Target="imap://Inbox;uidvalidity=1313110027;uid=397757" TargetMode="External" Id="rId29" /><Relationship Type="http://schemas.openxmlformats.org/officeDocument/2006/relationships/hyperlink" Target="imap://Inbox;uidvalidity=1313110027;uid=397755" TargetMode="External" Id="rId30" /><Relationship Type="http://schemas.openxmlformats.org/officeDocument/2006/relationships/hyperlink" Target="imap://Inbox;uidvalidity=1313110027;uid=397754" TargetMode="External" Id="rId31" /><Relationship Type="http://schemas.openxmlformats.org/officeDocument/2006/relationships/hyperlink" Target="imap://Inbox;uidvalidity=1313110027;uid=397748" TargetMode="External" Id="rId32" /><Relationship Type="http://schemas.openxmlformats.org/officeDocument/2006/relationships/hyperlink" Target="https://cribl.io/careers/culture-at-cribl/" TargetMode="External" Id="rId33" /><Relationship Type="http://schemas.openxmlformats.org/officeDocument/2006/relationships/hyperlink" Target="imap://Inbox;uidvalidity=1313110027;uid=397712" TargetMode="External" Id="rId34" /><Relationship Type="http://schemas.openxmlformats.org/officeDocument/2006/relationships/hyperlink" Target="imap://Inbox;uidvalidity=1313110027;uid=397711" TargetMode="External" Id="rId35" /><Relationship Type="http://schemas.openxmlformats.org/officeDocument/2006/relationships/hyperlink" Target="imap://Inbox;uidvalidity=1313110027;uid=397705" TargetMode="External" Id="rId36" /><Relationship Type="http://schemas.openxmlformats.org/officeDocument/2006/relationships/hyperlink" Target="imap://Inbox;uidvalidity=1313110027;uid=397700" TargetMode="External" Id="rId37" /><Relationship Type="http://schemas.openxmlformats.org/officeDocument/2006/relationships/hyperlink" Target="imap://Inbox;uidvalidity=1313110027;uid=397691" TargetMode="External" Id="rId38" /><Relationship Type="http://schemas.openxmlformats.org/officeDocument/2006/relationships/hyperlink" Target="https://career41.sapsf.com/career?career_ns=job_application&amp;navBarLevel=JOB_MGMT&amp;subNavBarLevel=JOB_APPLIED&amp;fbja_action=fbja_viewApp&amp;company=seagatetec&amp;career_job_req_id=13457&amp;fbja_appId=979612&amp;st=65CD846686B29E230FFAF290D3F73D29058CF6EB&amp;&quot;" TargetMode="External" Id="rId39" /><Relationship Type="http://schemas.openxmlformats.org/officeDocument/2006/relationships/hyperlink" Target="imap://Inbox;uidvalidity=1313110027;uid=397693" TargetMode="External" Id="rId40" /><Relationship Type="http://schemas.openxmlformats.org/officeDocument/2006/relationships/hyperlink" Target="imap://Inbox;uidvalidity=1313110027;uid=397625" TargetMode="External" Id="rId41" /><Relationship Type="http://schemas.openxmlformats.org/officeDocument/2006/relationships/hyperlink" Target="imap://Inbox;uidvalidity=1313110027;uid=397606" TargetMode="External" Id="rId42" /><Relationship Type="http://schemas.openxmlformats.org/officeDocument/2006/relationships/hyperlink" Target="imap://Inbox;uidvalidity=1313110027;uid=397560" TargetMode="External" Id="rId43" /><Relationship Type="http://schemas.openxmlformats.org/officeDocument/2006/relationships/table" Target="/xl/tables/table1.xml" Id="rId44"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A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8" customWidth="1" min="2" max="2"/>
    <col width="34" customWidth="1" min="3" max="3"/>
    <col width="18" customWidth="1" min="4" max="4"/>
    <col width="18" customWidth="1" min="5" max="5"/>
    <col width="34" customWidth="1" min="6" max="6"/>
    <col width="18" customWidth="1" min="7" max="7"/>
    <col width="18" customWidth="1" min="8" max="8"/>
    <col width="13" customWidth="1" min="9" max="9"/>
    <col width="13" customWidth="1" min="10" max="10"/>
    <col width="13" customWidth="1" min="11" max="11"/>
    <col width="13" customWidth="1" min="12" max="12"/>
    <col width="13" customWidth="1" min="13" max="13"/>
    <col width="13" customWidth="1" min="14" max="14"/>
    <col width="18" customWidth="1" min="15" max="15"/>
    <col width="18" customWidth="1" min="16" max="16"/>
    <col width="34" customWidth="1" min="17" max="17"/>
    <col width="44" customWidth="1" min="18" max="18"/>
    <col hidden="1" outlineLevel="1" width="34" customWidth="1" min="19" max="19"/>
    <col hidden="1" outlineLevel="1" width="20" customWidth="1" min="20" max="20"/>
    <col hidden="1" outlineLevel="1" width="13" customWidth="1" min="21" max="21"/>
    <col hidden="1" outlineLevel="1" width="20" customWidth="1" min="22" max="22"/>
    <col hidden="1" outlineLevel="1" width="20" customWidth="1" min="23" max="23"/>
    <col hidden="1" outlineLevel="1" width="20" customWidth="1" min="24" max="24"/>
    <col hidden="1" outlineLevel="1" width="20" customWidth="1" min="25" max="25"/>
    <col hidden="1" outlineLevel="1" width="20" customWidth="1" min="26" max="26"/>
    <col hidden="1" outlineLevel="1" width="20" customWidth="1" min="27" max="27"/>
  </cols>
  <sheetData>
    <row r="1" ht="24" customHeight="1">
      <c r="A1" s="1" t="inlineStr">
        <is>
          <t>RecordID</t>
        </is>
      </c>
      <c r="B1" s="1" t="inlineStr">
        <is>
          <t>Company</t>
        </is>
      </c>
      <c r="C1" s="1" t="inlineStr">
        <is>
          <t>Role</t>
        </is>
      </c>
      <c r="D1" s="1" t="inlineStr">
        <is>
          <t>Location</t>
        </is>
      </c>
      <c r="E1" s="1" t="inlineStr">
        <is>
          <t>ReqID_JobID</t>
        </is>
      </c>
      <c r="F1" s="1" t="inlineStr">
        <is>
          <t>JobURL</t>
        </is>
      </c>
      <c r="G1" s="1" t="inlineStr">
        <is>
          <t>Source</t>
        </is>
      </c>
      <c r="H1" s="1" t="inlineStr">
        <is>
          <t>Status</t>
        </is>
      </c>
      <c r="I1" s="1" t="inlineStr">
        <is>
          <t>StatusDate</t>
        </is>
      </c>
      <c r="J1" s="1" t="inlineStr">
        <is>
          <t>DateFirstSeen</t>
        </is>
      </c>
      <c r="K1" s="1" t="inlineStr">
        <is>
          <t>DateApplied</t>
        </is>
      </c>
      <c r="L1" s="1" t="inlineStr">
        <is>
          <t>LastEmailDate</t>
        </is>
      </c>
      <c r="M1" s="1" t="inlineStr">
        <is>
          <t>FollowUpDue</t>
        </is>
      </c>
      <c r="N1" s="1" t="inlineStr">
        <is>
          <t>DaysSinceLastEmail</t>
        </is>
      </c>
      <c r="O1" s="1" t="inlineStr">
        <is>
          <t>RecruiterName</t>
        </is>
      </c>
      <c r="P1" s="1" t="inlineStr">
        <is>
          <t>RecruiterEmail</t>
        </is>
      </c>
      <c r="Q1" s="1" t="inlineStr">
        <is>
          <t>NextStep</t>
        </is>
      </c>
      <c r="R1" s="1" t="inlineStr">
        <is>
          <t>Notes</t>
        </is>
      </c>
      <c r="S1" s="1" t="inlineStr">
        <is>
          <t>EmailThreadLink</t>
        </is>
      </c>
      <c r="T1" s="1" t="inlineStr">
        <is>
          <t>LastMessageID</t>
        </is>
      </c>
      <c r="U1" s="1" t="inlineStr">
        <is>
          <t>Confidence</t>
        </is>
      </c>
      <c r="V1" s="1" t="inlineStr">
        <is>
          <t>MatchedBy</t>
        </is>
      </c>
      <c r="W1" s="1" t="inlineStr">
        <is>
          <t>LastDetectedType</t>
        </is>
      </c>
      <c r="X1" s="1" t="inlineStr">
        <is>
          <t>TrackingCategory</t>
        </is>
      </c>
      <c r="Y1" s="1" t="inlineStr">
        <is>
          <t>UserLockStatus</t>
        </is>
      </c>
      <c r="Z1" s="1" t="inlineStr">
        <is>
          <t>UserLockNotes</t>
        </is>
      </c>
      <c r="AA1" s="1" t="inlineStr">
        <is>
          <t>UserLockNextStep</t>
        </is>
      </c>
    </row>
    <row r="2">
      <c r="A2" t="inlineStr">
        <is>
          <t>ba8df1213a5d86e5</t>
        </is>
      </c>
      <c r="B2" t="inlineStr">
        <is>
          <t>Connect</t>
        </is>
      </c>
      <c r="C2" t="inlineStr"/>
      <c r="D2" t="inlineStr"/>
      <c r="E2" t="inlineStr"/>
      <c r="F2" t="inlineStr"/>
      <c r="G2" t="inlineStr">
        <is>
          <t>Company Site</t>
        </is>
      </c>
      <c r="H2" t="inlineStr">
        <is>
          <t>Opportunity</t>
        </is>
      </c>
      <c r="I2" s="2" t="n">
        <v>46094.00011574074</v>
      </c>
      <c r="J2" s="2" t="n">
        <v>46094.00011574074</v>
      </c>
      <c r="K2" s="2" t="inlineStr"/>
      <c r="L2" s="2" t="n">
        <v>46094.00011574074</v>
      </c>
      <c r="M2" s="2" t="n">
        <v>46101.00011574074</v>
      </c>
      <c r="N2" s="3">
        <f>IF(L2="","",TODAY()-L2)</f>
        <v/>
      </c>
      <c r="O2" t="inlineStr">
        <is>
          <t>Dice"</t>
        </is>
      </c>
      <c r="P2" t="inlineStr">
        <is>
          <t>dice@connect.dice.com</t>
        </is>
      </c>
      <c r="Q2" s="4" t="inlineStr"/>
      <c r="R2" s="4" t="inlineStr">
        <is>
          <t>Role ambiguous</t>
        </is>
      </c>
      <c r="S2" s="5" t="inlineStr">
        <is>
          <t>imap://Inbox;uidvalidity=1313110027;uid=398073</t>
        </is>
      </c>
      <c r="T2" t="inlineStr">
        <is>
          <t>aa.67.35339.a8353b96@i-06e4a843b08a95775.mta2vrest.sd.prd.sparkpost</t>
        </is>
      </c>
      <c r="U2" s="6" t="n">
        <v>0.75</v>
      </c>
      <c r="V2" t="inlineStr">
        <is>
          <t>rule:Opportunity</t>
        </is>
      </c>
      <c r="W2" t="inlineStr">
        <is>
          <t>Opportunity</t>
        </is>
      </c>
      <c r="X2" t="inlineStr">
        <is>
          <t>Opportunity Notification</t>
        </is>
      </c>
      <c r="Y2" t="n">
        <v>0</v>
      </c>
      <c r="Z2" t="n">
        <v>0</v>
      </c>
      <c r="AA2" t="n">
        <v>0</v>
      </c>
    </row>
    <row r="3">
      <c r="A3" t="inlineStr">
        <is>
          <t>abf94118f20dd4a9</t>
        </is>
      </c>
      <c r="B3" t="inlineStr">
        <is>
          <t>Analyst I</t>
        </is>
      </c>
      <c r="C3" t="inlineStr"/>
      <c r="D3" t="inlineStr"/>
      <c r="E3" t="inlineStr"/>
      <c r="F3" t="inlineStr"/>
      <c r="G3" t="inlineStr">
        <is>
          <t>Company Site</t>
        </is>
      </c>
      <c r="H3" t="inlineStr">
        <is>
          <t>Rejected</t>
        </is>
      </c>
      <c r="I3" s="2" t="n">
        <v>46093.63800925926</v>
      </c>
      <c r="J3" s="2" t="n">
        <v>46093.63800925926</v>
      </c>
      <c r="K3" s="2" t="inlineStr"/>
      <c r="L3" s="2" t="n">
        <v>46093.63800925926</v>
      </c>
      <c r="M3" s="2" t="inlineStr"/>
      <c r="N3" s="3">
        <f>IF(L3="","",TODAY()-L3)</f>
        <v/>
      </c>
      <c r="O3" t="inlineStr"/>
      <c r="P3" t="inlineStr">
        <is>
          <t>no-reply@affirm.com</t>
        </is>
      </c>
      <c r="Q3" s="4" t="inlineStr"/>
      <c r="R3" s="4" t="inlineStr">
        <is>
          <t>Role ambiguous</t>
        </is>
      </c>
      <c r="S3" s="5" t="inlineStr">
        <is>
          <t>imap://Inbox;uidvalidity=1313110027;uid=398043</t>
        </is>
      </c>
      <c r="T3" t="inlineStr">
        <is>
          <t>20260312151844.562ab8b441c990f0@gh-mail.affirm.com</t>
        </is>
      </c>
      <c r="U3" s="6" t="n">
        <v>0.75</v>
      </c>
      <c r="V3" t="inlineStr">
        <is>
          <t>rule:Rejection</t>
        </is>
      </c>
      <c r="W3" t="inlineStr">
        <is>
          <t>Rejection</t>
        </is>
      </c>
      <c r="X3" t="inlineStr">
        <is>
          <t>Application Update</t>
        </is>
      </c>
      <c r="Y3" t="n">
        <v>0</v>
      </c>
      <c r="Z3" t="n">
        <v>0</v>
      </c>
      <c r="AA3" t="n">
        <v>0</v>
      </c>
    </row>
    <row r="4">
      <c r="A4" t="inlineStr">
        <is>
          <t>30015f09e64a839c</t>
        </is>
      </c>
      <c r="B4" t="inlineStr">
        <is>
          <t>Cardinalgroup</t>
        </is>
      </c>
      <c r="C4" t="inlineStr">
        <is>
          <t>49Be3260 4E42 4260 B93E 6C36C2807Ea9</t>
        </is>
      </c>
      <c r="D4" t="inlineStr"/>
      <c r="E4" t="inlineStr"/>
      <c r="F4" s="5" t="inlineStr">
        <is>
          <t>https://recruiting2.ultipro.com/CAR1054CGMA/JobBoard/49be3260-4e42-4260-b93e-6c36c2807ea9"</t>
        </is>
      </c>
      <c r="G4" t="inlineStr">
        <is>
          <t>Company Site</t>
        </is>
      </c>
      <c r="H4" t="inlineStr">
        <is>
          <t>Opportunity</t>
        </is>
      </c>
      <c r="I4" s="2" t="n">
        <v>46092.8707175926</v>
      </c>
      <c r="J4" s="2" t="n">
        <v>46092.8707175926</v>
      </c>
      <c r="K4" s="2" t="inlineStr"/>
      <c r="L4" s="2" t="n">
        <v>46092.8707175926</v>
      </c>
      <c r="M4" s="2" t="n">
        <v>46099.8707175926</v>
      </c>
      <c r="N4" s="3">
        <f>IF(L4="","",TODAY()-L4)</f>
        <v/>
      </c>
      <c r="O4" t="inlineStr"/>
      <c r="P4" t="inlineStr">
        <is>
          <t>recruiting@cardinalgroup.com</t>
        </is>
      </c>
      <c r="Q4" s="4" t="inlineStr"/>
      <c r="R4" s="4" t="inlineStr"/>
      <c r="S4" s="5" t="inlineStr">
        <is>
          <t>imap://Inbox;uidvalidity=1313110027;uid=398023</t>
        </is>
      </c>
      <c r="T4" t="inlineStr">
        <is>
          <t>4crfmmqak5-1@n0iprfap08.us.saas</t>
        </is>
      </c>
      <c r="U4" s="6" t="n">
        <v>0.9</v>
      </c>
      <c r="V4" t="inlineStr">
        <is>
          <t>rule:Opportunity</t>
        </is>
      </c>
      <c r="W4" t="inlineStr">
        <is>
          <t>Opportunity</t>
        </is>
      </c>
      <c r="X4" t="inlineStr">
        <is>
          <t>Opportunity Notification</t>
        </is>
      </c>
      <c r="Y4" t="n">
        <v>0</v>
      </c>
      <c r="Z4" t="n">
        <v>0</v>
      </c>
      <c r="AA4" t="n">
        <v>0</v>
      </c>
    </row>
    <row r="5">
      <c r="A5" t="inlineStr">
        <is>
          <t>533b22341e469bbb</t>
        </is>
      </c>
      <c r="B5" t="inlineStr">
        <is>
          <t>Zillow Group</t>
        </is>
      </c>
      <c r="C5" t="inlineStr"/>
      <c r="D5" t="inlineStr"/>
      <c r="E5" t="inlineStr"/>
      <c r="F5" t="inlineStr"/>
      <c r="G5" t="inlineStr">
        <is>
          <t>Company Site</t>
        </is>
      </c>
      <c r="H5" t="inlineStr">
        <is>
          <t>Rejected</t>
        </is>
      </c>
      <c r="I5" s="2" t="n">
        <v>46092.59082175926</v>
      </c>
      <c r="J5" s="2" t="n">
        <v>46092.59082175926</v>
      </c>
      <c r="K5" s="2" t="inlineStr"/>
      <c r="L5" s="2" t="n">
        <v>46092.59082175926</v>
      </c>
      <c r="M5" s="2" t="inlineStr"/>
      <c r="N5" s="3">
        <f>IF(L5="","",TODAY()-L5)</f>
        <v/>
      </c>
      <c r="O5" t="inlineStr">
        <is>
          <t>Zillow Group Recruiting</t>
        </is>
      </c>
      <c r="P5" t="inlineStr">
        <is>
          <t>no-reply@careers.zillowgroup.com</t>
        </is>
      </c>
      <c r="Q5" s="4" t="inlineStr"/>
      <c r="R5" s="4" t="inlineStr">
        <is>
          <t>Role ambiguous</t>
        </is>
      </c>
      <c r="S5" s="5" t="inlineStr">
        <is>
          <t>imap://Inbox;uidvalidity=1313110027;uid=398007</t>
        </is>
      </c>
      <c r="T5" t="inlineStr">
        <is>
          <t>20260311141047.a2c7585b25c51f7b@careers.zillowgroup.com</t>
        </is>
      </c>
      <c r="U5" s="6" t="n">
        <v>0.75</v>
      </c>
      <c r="V5" t="inlineStr">
        <is>
          <t>rule:Rejection</t>
        </is>
      </c>
      <c r="W5" t="inlineStr">
        <is>
          <t>Rejection</t>
        </is>
      </c>
      <c r="X5" t="inlineStr">
        <is>
          <t>Application Update</t>
        </is>
      </c>
      <c r="Y5" t="n">
        <v>0</v>
      </c>
      <c r="Z5" t="n">
        <v>0</v>
      </c>
      <c r="AA5" t="n">
        <v>0</v>
      </c>
    </row>
    <row r="6">
      <c r="A6" t="inlineStr">
        <is>
          <t>be8e2a68f6ce9108</t>
        </is>
      </c>
      <c r="B6" t="inlineStr">
        <is>
          <t>Inceed</t>
        </is>
      </c>
      <c r="C6" t="inlineStr"/>
      <c r="D6" t="inlineStr"/>
      <c r="E6" t="inlineStr"/>
      <c r="F6" t="inlineStr"/>
      <c r="G6" t="inlineStr">
        <is>
          <t>Company Site</t>
        </is>
      </c>
      <c r="H6" t="inlineStr">
        <is>
          <t>Rejected</t>
        </is>
      </c>
      <c r="I6" s="2" t="n">
        <v>46091.92974537037</v>
      </c>
      <c r="J6" s="2" t="n">
        <v>46091.92974537037</v>
      </c>
      <c r="K6" s="2" t="inlineStr"/>
      <c r="L6" s="2" t="n">
        <v>46091.92974537037</v>
      </c>
      <c r="M6" s="2" t="inlineStr"/>
      <c r="N6" s="3">
        <f>IF(L6="","",TODAY()-L6)</f>
        <v/>
      </c>
      <c r="O6" t="inlineStr">
        <is>
          <t>Inceed</t>
        </is>
      </c>
      <c r="P6" t="inlineStr">
        <is>
          <t>noreply@inceed.com</t>
        </is>
      </c>
      <c r="Q6" s="4" t="inlineStr"/>
      <c r="R6" s="4" t="inlineStr">
        <is>
          <t>Role ambiguous</t>
        </is>
      </c>
      <c r="S6" s="5" t="inlineStr">
        <is>
          <t>imap://Inbox;uidvalidity=1313110027;uid=397988</t>
        </is>
      </c>
      <c r="T6" t="inlineStr">
        <is>
          <t>nocih0lhqxkjh2v72dbh5a@geopod-ismtpd-canary-0</t>
        </is>
      </c>
      <c r="U6" s="6" t="n">
        <v>0.75</v>
      </c>
      <c r="V6" t="inlineStr">
        <is>
          <t>rule:Rejection</t>
        </is>
      </c>
      <c r="W6" t="inlineStr">
        <is>
          <t>Rejection</t>
        </is>
      </c>
      <c r="X6" t="inlineStr">
        <is>
          <t>Application Update</t>
        </is>
      </c>
      <c r="Y6" t="n">
        <v>0</v>
      </c>
      <c r="Z6" t="n">
        <v>0</v>
      </c>
      <c r="AA6" t="n">
        <v>0</v>
      </c>
    </row>
    <row r="7">
      <c r="A7" t="inlineStr">
        <is>
          <t>f8682d6a8e65d0b4</t>
        </is>
      </c>
      <c r="B7" t="inlineStr">
        <is>
          <t>Linkedin</t>
        </is>
      </c>
      <c r="C7" t="inlineStr"/>
      <c r="D7" t="inlineStr">
        <is>
          <t>Hybrid</t>
        </is>
      </c>
      <c r="E7" t="inlineStr"/>
      <c r="F7" t="inlineStr"/>
      <c r="G7" t="inlineStr">
        <is>
          <t>LinkedIn</t>
        </is>
      </c>
      <c r="H7" t="inlineStr">
        <is>
          <t>Opportunity</t>
        </is>
      </c>
      <c r="I7" s="2" t="n">
        <v>46091.62679398148</v>
      </c>
      <c r="J7" s="2" t="n">
        <v>46091.62679398148</v>
      </c>
      <c r="K7" s="2" t="inlineStr"/>
      <c r="L7" s="2" t="n">
        <v>46091.62679398148</v>
      </c>
      <c r="M7" s="2" t="n">
        <v>46098.62679398148</v>
      </c>
      <c r="N7" s="3">
        <f>IF(L7="","",TODAY()-L7)</f>
        <v/>
      </c>
      <c r="O7" t="inlineStr">
        <is>
          <t>Stephen See</t>
        </is>
      </c>
      <c r="P7" t="inlineStr">
        <is>
          <t>inmail-hit-reply@linkedin.com</t>
        </is>
      </c>
      <c r="Q7" s="4" t="inlineStr"/>
      <c r="R7" s="4" t="inlineStr">
        <is>
          <t>Role ambiguous</t>
        </is>
      </c>
      <c r="S7" s="5" t="inlineStr">
        <is>
          <t>imap://Inbox;uidvalidity=1313110027;uid=397958</t>
        </is>
      </c>
      <c r="T7" t="inlineStr">
        <is>
          <t>1774856065.6101431.1773154955183@lor1-app170537.prod.linkedin.com</t>
        </is>
      </c>
      <c r="U7" s="6" t="n">
        <v>0.75</v>
      </c>
      <c r="V7" t="inlineStr">
        <is>
          <t>rule:Opportunity</t>
        </is>
      </c>
      <c r="W7" t="inlineStr">
        <is>
          <t>Opportunity</t>
        </is>
      </c>
      <c r="X7" t="inlineStr">
        <is>
          <t>Opportunity Notification</t>
        </is>
      </c>
      <c r="Y7" t="n">
        <v>0</v>
      </c>
      <c r="Z7" t="n">
        <v>0</v>
      </c>
      <c r="AA7" t="n">
        <v>0</v>
      </c>
    </row>
    <row r="8">
      <c r="A8" t="inlineStr">
        <is>
          <t>7ee6d844882a8339</t>
        </is>
      </c>
      <c r="B8" t="inlineStr">
        <is>
          <t>Data Analyst</t>
        </is>
      </c>
      <c r="C8" t="inlineStr"/>
      <c r="D8" t="inlineStr"/>
      <c r="E8" t="inlineStr"/>
      <c r="F8" t="inlineStr"/>
      <c r="G8" t="inlineStr">
        <is>
          <t>LinkedIn</t>
        </is>
      </c>
      <c r="H8" t="inlineStr">
        <is>
          <t>Applied</t>
        </is>
      </c>
      <c r="I8" s="2" t="n">
        <v>46090.80481481482</v>
      </c>
      <c r="J8" s="2" t="n">
        <v>46090.80481481482</v>
      </c>
      <c r="K8" s="2" t="n">
        <v>46090.80481481482</v>
      </c>
      <c r="L8" s="2" t="n">
        <v>46090.80481481482</v>
      </c>
      <c r="M8" s="2" t="n">
        <v>46100.80481481482</v>
      </c>
      <c r="N8" s="3">
        <f>IF(L8="","",TODAY()-L8)</f>
        <v/>
      </c>
      <c r="O8" t="inlineStr">
        <is>
          <t>LinkedIn</t>
        </is>
      </c>
      <c r="P8" t="inlineStr">
        <is>
          <t>jobs-noreply@linkedin.com</t>
        </is>
      </c>
      <c r="Q8" s="4" t="inlineStr"/>
      <c r="R8" s="4" t="inlineStr">
        <is>
          <t>Role ambiguous</t>
        </is>
      </c>
      <c r="S8" s="5" t="inlineStr">
        <is>
          <t>imap://Inbox;uidvalidity=1313110027;uid=397939</t>
        </is>
      </c>
      <c r="T8" t="inlineStr">
        <is>
          <t>1594953470.19690840.1773083936324@lor1-app136109.prod.linkedin.com</t>
        </is>
      </c>
      <c r="U8" s="6" t="n">
        <v>0.7</v>
      </c>
      <c r="V8" t="inlineStr">
        <is>
          <t>rule:ApplicationConfirmation</t>
        </is>
      </c>
      <c r="W8" t="inlineStr">
        <is>
          <t>ApplicationConfirmation</t>
        </is>
      </c>
      <c r="X8" t="inlineStr">
        <is>
          <t>Application Confirmation</t>
        </is>
      </c>
      <c r="Y8" t="n">
        <v>0</v>
      </c>
      <c r="Z8" t="n">
        <v>0</v>
      </c>
      <c r="AA8" t="n">
        <v>0</v>
      </c>
    </row>
    <row r="9">
      <c r="A9" t="inlineStr">
        <is>
          <t>e507d829e2254502</t>
        </is>
      </c>
      <c r="B9" t="inlineStr">
        <is>
          <t>these Dice features</t>
        </is>
      </c>
      <c r="C9" t="inlineStr"/>
      <c r="D9" t="inlineStr"/>
      <c r="E9" t="inlineStr"/>
      <c r="F9" s="5" t="inlineStr">
        <is>
          <t>https://www.dice.com/jobs</t>
        </is>
      </c>
      <c r="G9" t="inlineStr">
        <is>
          <t>Company Site</t>
        </is>
      </c>
      <c r="H9" t="inlineStr">
        <is>
          <t>Opportunity</t>
        </is>
      </c>
      <c r="I9" s="2" t="n">
        <v>46089.95836805556</v>
      </c>
      <c r="J9" s="2" t="n">
        <v>46089.95836805556</v>
      </c>
      <c r="K9" s="2" t="inlineStr"/>
      <c r="L9" s="2" t="n">
        <v>46089.95836805556</v>
      </c>
      <c r="M9" s="2" t="n">
        <v>46096.95836805556</v>
      </c>
      <c r="N9" s="3">
        <f>IF(L9="","",TODAY()-L9)</f>
        <v/>
      </c>
      <c r="O9" t="inlineStr">
        <is>
          <t>Dice"</t>
        </is>
      </c>
      <c r="P9" t="inlineStr">
        <is>
          <t>dice@connect.dice.com</t>
        </is>
      </c>
      <c r="Q9" s="4" t="inlineStr"/>
      <c r="R9" s="4" t="inlineStr">
        <is>
          <t>Role ambiguous</t>
        </is>
      </c>
      <c r="S9" s="5" t="inlineStr">
        <is>
          <t>imap://Inbox;uidvalidity=1313110027;uid=397907</t>
        </is>
      </c>
      <c r="T9" t="inlineStr">
        <is>
          <t>df.6b.24779.37ffda96@i-0d8976ea228f637ca.mta2vrest.sd.prd.sparkpost</t>
        </is>
      </c>
      <c r="U9" s="6" t="n">
        <v>0.9</v>
      </c>
      <c r="V9" t="inlineStr">
        <is>
          <t>rule:Opportunity</t>
        </is>
      </c>
      <c r="W9" t="inlineStr">
        <is>
          <t>Opportunity</t>
        </is>
      </c>
      <c r="X9" t="inlineStr">
        <is>
          <t>Opportunity Notification</t>
        </is>
      </c>
      <c r="Y9" t="n">
        <v>0</v>
      </c>
      <c r="Z9" t="n">
        <v>0</v>
      </c>
      <c r="AA9" t="n">
        <v>0</v>
      </c>
    </row>
    <row r="10">
      <c r="A10" t="inlineStr">
        <is>
          <t>28bcfd1905c9c281</t>
        </is>
      </c>
      <c r="B10" t="inlineStr">
        <is>
          <t>Power BI Developer at Kelly Science</t>
        </is>
      </c>
      <c r="C10" t="inlineStr">
        <is>
          <t>Engineering, Technology &amp; Telecom</t>
        </is>
      </c>
      <c r="D10" t="inlineStr"/>
      <c r="E10" t="inlineStr"/>
      <c r="F10" t="inlineStr"/>
      <c r="G10" t="inlineStr">
        <is>
          <t>LinkedIn</t>
        </is>
      </c>
      <c r="H10" t="inlineStr">
        <is>
          <t>Applied</t>
        </is>
      </c>
      <c r="I10" s="2" t="n">
        <v>46088.91976851852</v>
      </c>
      <c r="J10" s="2" t="n">
        <v>46088.91976851852</v>
      </c>
      <c r="K10" s="2" t="n">
        <v>46088.91976851852</v>
      </c>
      <c r="L10" s="2" t="n">
        <v>46088.91976851852</v>
      </c>
      <c r="M10" s="2" t="n">
        <v>46098.91976851852</v>
      </c>
      <c r="N10" s="3">
        <f>IF(L10="","",TODAY()-L10)</f>
        <v/>
      </c>
      <c r="O10" t="inlineStr">
        <is>
          <t>LinkedIn</t>
        </is>
      </c>
      <c r="P10" t="inlineStr">
        <is>
          <t>jobs-noreply@linkedin.com</t>
        </is>
      </c>
      <c r="Q10" s="4" t="inlineStr"/>
      <c r="R10" s="4" t="inlineStr"/>
      <c r="S10" s="5" t="inlineStr">
        <is>
          <t>imap://Inbox;uidvalidity=1313110027;uid=397878</t>
        </is>
      </c>
      <c r="T10" t="inlineStr">
        <is>
          <t>1702242487.16810819.1772921068680@lor1-app78406.prod.linkedin.com</t>
        </is>
      </c>
      <c r="U10" s="6" t="n">
        <v>0.7</v>
      </c>
      <c r="V10" t="inlineStr">
        <is>
          <t>rule:ApplicationConfirmation</t>
        </is>
      </c>
      <c r="W10" t="inlineStr">
        <is>
          <t>ApplicationConfirmation</t>
        </is>
      </c>
      <c r="X10" t="inlineStr">
        <is>
          <t>Application Confirmation</t>
        </is>
      </c>
      <c r="Y10" t="n">
        <v>0</v>
      </c>
      <c r="Z10" t="n">
        <v>0</v>
      </c>
      <c r="AA10" t="n">
        <v>0</v>
      </c>
    </row>
    <row r="11">
      <c r="A11" t="inlineStr">
        <is>
          <t>2035a1d0b64f27d7</t>
        </is>
      </c>
      <c r="B11" t="inlineStr">
        <is>
          <t>Wpromote</t>
        </is>
      </c>
      <c r="C11" t="inlineStr"/>
      <c r="D11" t="inlineStr"/>
      <c r="E11" t="inlineStr"/>
      <c r="F11" t="inlineStr"/>
      <c r="G11" t="inlineStr">
        <is>
          <t>Company Site</t>
        </is>
      </c>
      <c r="H11" t="inlineStr">
        <is>
          <t>Rejected</t>
        </is>
      </c>
      <c r="I11" s="2" t="n">
        <v>46088.13909722222</v>
      </c>
      <c r="J11" s="2" t="n">
        <v>46088.13909722222</v>
      </c>
      <c r="K11" s="2" t="inlineStr"/>
      <c r="L11" s="2" t="n">
        <v>46088.13909722222</v>
      </c>
      <c r="M11" s="2" t="inlineStr"/>
      <c r="N11" s="3">
        <f>IF(L11="","",TODAY()-L11)</f>
        <v/>
      </c>
      <c r="O11" t="inlineStr">
        <is>
          <t>WPROMOTE</t>
        </is>
      </c>
      <c r="P11" t="inlineStr">
        <is>
          <t>no-reply@hire.lever.co</t>
        </is>
      </c>
      <c r="Q11" s="4" t="inlineStr"/>
      <c r="R11" s="4" t="inlineStr">
        <is>
          <t>Role ambiguous</t>
        </is>
      </c>
      <c r="S11" s="5" t="inlineStr">
        <is>
          <t>imap://Inbox;uidvalidity=1313110027;uid=397862</t>
        </is>
      </c>
      <c r="T11" t="inlineStr">
        <is>
          <t>20260307032018.e43d666dee6d5c10@hire.lever.co</t>
        </is>
      </c>
      <c r="U11" s="6" t="n">
        <v>0.75</v>
      </c>
      <c r="V11" t="inlineStr">
        <is>
          <t>rule:Rejection</t>
        </is>
      </c>
      <c r="W11" t="inlineStr">
        <is>
          <t>Rejection</t>
        </is>
      </c>
      <c r="X11" t="inlineStr">
        <is>
          <t>Application Update</t>
        </is>
      </c>
      <c r="Y11" t="n">
        <v>0</v>
      </c>
      <c r="Z11" t="n">
        <v>0</v>
      </c>
      <c r="AA11" t="n">
        <v>0</v>
      </c>
    </row>
    <row r="12">
      <c r="A12" t="inlineStr">
        <is>
          <t>453c7404dd090a21</t>
        </is>
      </c>
      <c r="B12" t="inlineStr">
        <is>
          <t>Business Intelligence Analyst</t>
        </is>
      </c>
      <c r="C12" t="inlineStr"/>
      <c r="D12" t="inlineStr"/>
      <c r="E12" t="inlineStr"/>
      <c r="F12" t="inlineStr"/>
      <c r="G12" t="inlineStr">
        <is>
          <t>LinkedIn</t>
        </is>
      </c>
      <c r="H12" t="inlineStr">
        <is>
          <t>Applied</t>
        </is>
      </c>
      <c r="I12" s="2" t="n">
        <v>46087.98599537037</v>
      </c>
      <c r="J12" s="2" t="n">
        <v>46087.98599537037</v>
      </c>
      <c r="K12" s="2" t="n">
        <v>46087.98599537037</v>
      </c>
      <c r="L12" s="2" t="n">
        <v>46087.98599537037</v>
      </c>
      <c r="M12" s="2" t="n">
        <v>46097.98599537037</v>
      </c>
      <c r="N12" s="3">
        <f>IF(L12="","",TODAY()-L12)</f>
        <v/>
      </c>
      <c r="O12" t="inlineStr">
        <is>
          <t>LinkedIn</t>
        </is>
      </c>
      <c r="P12" t="inlineStr">
        <is>
          <t>jobs-noreply@linkedin.com</t>
        </is>
      </c>
      <c r="Q12" s="4" t="inlineStr"/>
      <c r="R12" s="4" t="inlineStr">
        <is>
          <t>Role ambiguous</t>
        </is>
      </c>
      <c r="S12" s="5" t="inlineStr">
        <is>
          <t>imap://Inbox;uidvalidity=1313110027;uid=397858</t>
        </is>
      </c>
      <c r="T12" t="inlineStr">
        <is>
          <t>1988075359.5433915.1772840390902@lor1-app105352.prod.linkedin.com</t>
        </is>
      </c>
      <c r="U12" s="6" t="n">
        <v>0.7</v>
      </c>
      <c r="V12" t="inlineStr">
        <is>
          <t>rule:ApplicationConfirmation</t>
        </is>
      </c>
      <c r="W12" t="inlineStr">
        <is>
          <t>ApplicationConfirmation</t>
        </is>
      </c>
      <c r="X12" t="inlineStr">
        <is>
          <t>Application Confirmation</t>
        </is>
      </c>
      <c r="Y12" t="n">
        <v>0</v>
      </c>
      <c r="Z12" t="n">
        <v>0</v>
      </c>
      <c r="AA12" t="n">
        <v>0</v>
      </c>
    </row>
    <row r="13">
      <c r="A13" t="inlineStr">
        <is>
          <t>a0af48dd6e2ae723</t>
        </is>
      </c>
      <c r="B13" t="inlineStr">
        <is>
          <t>Agavito</t>
        </is>
      </c>
      <c r="C13" t="inlineStr"/>
      <c r="D13" t="inlineStr"/>
      <c r="E13" t="inlineStr"/>
      <c r="F13" t="inlineStr"/>
      <c r="G13" t="inlineStr">
        <is>
          <t>Company Site</t>
        </is>
      </c>
      <c r="H13" t="inlineStr">
        <is>
          <t>Interview</t>
        </is>
      </c>
      <c r="I13" s="2" t="n">
        <v>46087.90174768519</v>
      </c>
      <c r="J13" s="2" t="n">
        <v>46087.90174768519</v>
      </c>
      <c r="K13" s="2" t="inlineStr"/>
      <c r="L13" s="2" t="n">
        <v>46087.90174768519</v>
      </c>
      <c r="M13" s="2" t="n">
        <v>46092.90174768519</v>
      </c>
      <c r="N13" s="3">
        <f>IF(L13="","",TODAY()-L13)</f>
        <v/>
      </c>
      <c r="O13" t="inlineStr">
        <is>
          <t>Ashly Gavito | Poudre Valley REA</t>
        </is>
      </c>
      <c r="P13" t="inlineStr">
        <is>
          <t>agavito@pvrea.hire.trakstar.com</t>
        </is>
      </c>
      <c r="Q13" s="4" t="inlineStr"/>
      <c r="R13" s="4" t="inlineStr">
        <is>
          <t>Role ambiguous</t>
        </is>
      </c>
      <c r="S13" s="5" t="inlineStr">
        <is>
          <t>imap://Inbox;uidvalidity=1313110027;uid=397854</t>
        </is>
      </c>
      <c r="T13" t="inlineStr">
        <is>
          <t>177283311104.2218.14208277100546618197@mails.hire.trakstar.com</t>
        </is>
      </c>
      <c r="U13" s="6" t="n">
        <v>0.8500000000000001</v>
      </c>
      <c r="V13" t="inlineStr">
        <is>
          <t>rule:InterviewRequest</t>
        </is>
      </c>
      <c r="W13" t="inlineStr">
        <is>
          <t>InterviewRequest</t>
        </is>
      </c>
      <c r="X13" t="inlineStr">
        <is>
          <t>Application Update</t>
        </is>
      </c>
      <c r="Y13" t="n">
        <v>0</v>
      </c>
      <c r="Z13" t="n">
        <v>0</v>
      </c>
      <c r="AA13" t="n">
        <v>0</v>
      </c>
    </row>
    <row r="14">
      <c r="A14" t="inlineStr">
        <is>
          <t>379070ff07e8e0a4</t>
        </is>
      </c>
      <c r="B14" t="inlineStr">
        <is>
          <t>JANSON</t>
        </is>
      </c>
      <c r="C14" t="inlineStr"/>
      <c r="D14" t="inlineStr"/>
      <c r="E14" t="inlineStr"/>
      <c r="F14" t="inlineStr"/>
      <c r="G14" t="inlineStr">
        <is>
          <t>Indeed</t>
        </is>
      </c>
      <c r="H14" t="inlineStr">
        <is>
          <t>Rejected</t>
        </is>
      </c>
      <c r="I14" s="2" t="n">
        <v>46087.89511574074</v>
      </c>
      <c r="J14" s="2" t="n">
        <v>46087.89511574074</v>
      </c>
      <c r="K14" s="2" t="inlineStr"/>
      <c r="L14" s="2" t="n">
        <v>46087.89511574074</v>
      </c>
      <c r="M14" s="2" t="inlineStr"/>
      <c r="N14" s="3">
        <f>IF(L14="","",TODAY()-L14)</f>
        <v/>
      </c>
      <c r="O14" t="inlineStr">
        <is>
          <t>JANSON"</t>
        </is>
      </c>
      <c r="P14" t="inlineStr">
        <is>
          <t>noreply@indeed.com</t>
        </is>
      </c>
      <c r="Q14" s="4" t="inlineStr"/>
      <c r="R14" s="4" t="inlineStr">
        <is>
          <t>Role ambiguous</t>
        </is>
      </c>
      <c r="S14" s="5" t="inlineStr">
        <is>
          <t>imap://Inbox;uidvalidity=1313110027;uid=397853</t>
        </is>
      </c>
      <c r="T14" t="inlineStr">
        <is>
          <t>1jj2grfsgm2fh800@indeed.com</t>
        </is>
      </c>
      <c r="U14" s="6" t="n">
        <v>0.75</v>
      </c>
      <c r="V14" t="inlineStr">
        <is>
          <t>rule:Rejection</t>
        </is>
      </c>
      <c r="W14" t="inlineStr">
        <is>
          <t>Rejection</t>
        </is>
      </c>
      <c r="X14" t="inlineStr">
        <is>
          <t>Application Update</t>
        </is>
      </c>
      <c r="Y14" t="n">
        <v>0</v>
      </c>
      <c r="Z14" t="n">
        <v>0</v>
      </c>
      <c r="AA14" t="n">
        <v>0</v>
      </c>
    </row>
    <row r="15">
      <c r="A15" t="inlineStr">
        <is>
          <t>4978f530665aa92c</t>
        </is>
      </c>
      <c r="B15" t="inlineStr">
        <is>
          <t>Connect</t>
        </is>
      </c>
      <c r="C15" t="inlineStr"/>
      <c r="D15" t="inlineStr"/>
      <c r="E15" t="inlineStr"/>
      <c r="F15" t="inlineStr"/>
      <c r="G15" t="inlineStr">
        <is>
          <t>Company Site</t>
        </is>
      </c>
      <c r="H15" t="inlineStr">
        <is>
          <t>Opportunity</t>
        </is>
      </c>
      <c r="I15" s="2" t="n">
        <v>46087.83346064815</v>
      </c>
      <c r="J15" s="2" t="n">
        <v>46087.83346064815</v>
      </c>
      <c r="K15" s="2" t="inlineStr"/>
      <c r="L15" s="2" t="n">
        <v>46087.83346064815</v>
      </c>
      <c r="M15" s="2" t="n">
        <v>46094.83346064815</v>
      </c>
      <c r="N15" s="3">
        <f>IF(L15="","",TODAY()-L15)</f>
        <v/>
      </c>
      <c r="O15" t="inlineStr">
        <is>
          <t>Dice"</t>
        </is>
      </c>
      <c r="P15" t="inlineStr">
        <is>
          <t>dice@connect.dice.com</t>
        </is>
      </c>
      <c r="Q15" s="4" t="inlineStr"/>
      <c r="R15" s="4" t="inlineStr">
        <is>
          <t>Role ambiguous</t>
        </is>
      </c>
      <c r="S15" s="5" t="inlineStr">
        <is>
          <t>imap://Inbox;uidvalidity=1313110027;uid=397852</t>
        </is>
      </c>
      <c r="T15" t="inlineStr">
        <is>
          <t>aa.89.00657.b423ba96@i-060a5b4bf74525564.mta2vrest.sd.prd.sparkpost</t>
        </is>
      </c>
      <c r="U15" s="6" t="n">
        <v>0.75</v>
      </c>
      <c r="V15" t="inlineStr">
        <is>
          <t>rule:Opportunity</t>
        </is>
      </c>
      <c r="W15" t="inlineStr">
        <is>
          <t>Opportunity</t>
        </is>
      </c>
      <c r="X15" t="inlineStr">
        <is>
          <t>Opportunity Notification</t>
        </is>
      </c>
      <c r="Y15" t="n">
        <v>0</v>
      </c>
      <c r="Z15" t="n">
        <v>0</v>
      </c>
      <c r="AA15" t="n">
        <v>0</v>
      </c>
    </row>
    <row r="16">
      <c r="A16" t="inlineStr">
        <is>
          <t>d953da94d71bee4a</t>
        </is>
      </c>
      <c r="B16" t="inlineStr">
        <is>
          <t>Care Access</t>
        </is>
      </c>
      <c r="C16" t="inlineStr"/>
      <c r="D16" t="inlineStr"/>
      <c r="E16" t="inlineStr"/>
      <c r="F16" t="inlineStr"/>
      <c r="G16" t="inlineStr">
        <is>
          <t>Company Site</t>
        </is>
      </c>
      <c r="H16" t="inlineStr">
        <is>
          <t>Rejected</t>
        </is>
      </c>
      <c r="I16" s="2" t="n">
        <v>46086.92716435185</v>
      </c>
      <c r="J16" s="2" t="n">
        <v>46086.92716435185</v>
      </c>
      <c r="K16" s="2" t="inlineStr"/>
      <c r="L16" s="2" t="n">
        <v>46086.92716435185</v>
      </c>
      <c r="M16" s="2" t="inlineStr"/>
      <c r="N16" s="3">
        <f>IF(L16="","",TODAY()-L16)</f>
        <v/>
      </c>
      <c r="O16" t="inlineStr"/>
      <c r="P16" t="inlineStr">
        <is>
          <t>no-reply@careaccess.com</t>
        </is>
      </c>
      <c r="Q16" s="4" t="inlineStr"/>
      <c r="R16" s="4" t="inlineStr">
        <is>
          <t>Role ambiguous</t>
        </is>
      </c>
      <c r="S16" s="5" t="inlineStr">
        <is>
          <t>imap://Inbox;uidvalidity=1313110027;uid=397824</t>
        </is>
      </c>
      <c r="T16" t="inlineStr">
        <is>
          <t>20260305221507.dac1f5c2a37e32c1@gh-mail.careaccess.com</t>
        </is>
      </c>
      <c r="U16" s="6" t="n">
        <v>0.75</v>
      </c>
      <c r="V16" t="inlineStr">
        <is>
          <t>rule:Rejection</t>
        </is>
      </c>
      <c r="W16" t="inlineStr">
        <is>
          <t>Rejection</t>
        </is>
      </c>
      <c r="X16" t="inlineStr">
        <is>
          <t>Application Update</t>
        </is>
      </c>
      <c r="Y16" t="n">
        <v>0</v>
      </c>
      <c r="Z16" t="n">
        <v>0</v>
      </c>
      <c r="AA16" t="n">
        <v>0</v>
      </c>
    </row>
    <row r="17">
      <c r="A17" t="inlineStr">
        <is>
          <t>77d4d4675ca8019d</t>
        </is>
      </c>
      <c r="B17" t="inlineStr">
        <is>
          <t>Zillow</t>
        </is>
      </c>
      <c r="C17" t="inlineStr"/>
      <c r="D17" t="inlineStr"/>
      <c r="E17" t="inlineStr"/>
      <c r="F17" t="inlineStr"/>
      <c r="G17" t="inlineStr">
        <is>
          <t>Company Site</t>
        </is>
      </c>
      <c r="H17" t="inlineStr">
        <is>
          <t>Applied</t>
        </is>
      </c>
      <c r="I17" s="2" t="n">
        <v>46086.83284722222</v>
      </c>
      <c r="J17" s="2" t="n">
        <v>46086.83284722222</v>
      </c>
      <c r="K17" s="2" t="n">
        <v>46086.83284722222</v>
      </c>
      <c r="L17" s="2" t="n">
        <v>46086.83284722222</v>
      </c>
      <c r="M17" s="2" t="n">
        <v>46096.83284722222</v>
      </c>
      <c r="N17" s="3">
        <f>IF(L17="","",TODAY()-L17)</f>
        <v/>
      </c>
      <c r="O17" t="inlineStr">
        <is>
          <t>Workday</t>
        </is>
      </c>
      <c r="P17" t="inlineStr">
        <is>
          <t>zillow@myworkday.com</t>
        </is>
      </c>
      <c r="Q17" s="4" t="inlineStr"/>
      <c r="R17" s="4" t="inlineStr">
        <is>
          <t>Role ambiguous</t>
        </is>
      </c>
      <c r="S17" s="5" t="inlineStr">
        <is>
          <t>imap://Inbox;uidvalidity=1313110027;uid=397817</t>
        </is>
      </c>
      <c r="T17" t="inlineStr">
        <is>
          <t>0101019cbf954a81-a3accf06-4979-4980-9a85-e3a40df06448-000000@us-west-2.amazonses.com</t>
        </is>
      </c>
      <c r="U17" s="6" t="n">
        <v>0.7</v>
      </c>
      <c r="V17" t="inlineStr">
        <is>
          <t>rule:ApplicationConfirmation</t>
        </is>
      </c>
      <c r="W17" t="inlineStr">
        <is>
          <t>ApplicationConfirmation</t>
        </is>
      </c>
      <c r="X17" t="inlineStr">
        <is>
          <t>Application Confirmation</t>
        </is>
      </c>
      <c r="Y17" t="n">
        <v>0</v>
      </c>
      <c r="Z17" t="n">
        <v>0</v>
      </c>
      <c r="AA17" t="n">
        <v>0</v>
      </c>
    </row>
    <row r="18">
      <c r="A18" t="inlineStr">
        <is>
          <t>d7e7eee7c38694ac</t>
        </is>
      </c>
      <c r="B18" t="inlineStr">
        <is>
          <t>Des Moines - 1 Year Contract - Data Scien</t>
        </is>
      </c>
      <c r="C18" t="inlineStr"/>
      <c r="D18" t="inlineStr">
        <is>
          <t>Hybrid</t>
        </is>
      </c>
      <c r="E18" t="inlineStr"/>
      <c r="F18" t="inlineStr"/>
      <c r="G18" t="inlineStr">
        <is>
          <t>LinkedIn</t>
        </is>
      </c>
      <c r="H18" t="inlineStr">
        <is>
          <t>Opportunity</t>
        </is>
      </c>
      <c r="I18" s="2" t="n">
        <v>46086.71166666667</v>
      </c>
      <c r="J18" s="2" t="n">
        <v>46086.71166666667</v>
      </c>
      <c r="K18" s="2" t="inlineStr"/>
      <c r="L18" s="2" t="n">
        <v>46086.71166666667</v>
      </c>
      <c r="M18" s="2" t="n">
        <v>46093.71166666667</v>
      </c>
      <c r="N18" s="3">
        <f>IF(L18="","",TODAY()-L18)</f>
        <v/>
      </c>
      <c r="O18" t="inlineStr">
        <is>
          <t>Gable Verschoor</t>
        </is>
      </c>
      <c r="P18" t="inlineStr">
        <is>
          <t>inmail-hit-reply@linkedin.com</t>
        </is>
      </c>
      <c r="Q18" s="4" t="inlineStr"/>
      <c r="R18" s="4" t="inlineStr">
        <is>
          <t>Role ambiguous</t>
        </is>
      </c>
      <c r="S18" s="5" t="inlineStr">
        <is>
          <t>imap://Inbox;uidvalidity=1313110027;uid=397810</t>
        </is>
      </c>
      <c r="T18" t="inlineStr">
        <is>
          <t>1978686464.4836274.1772730288967@lor1-app135759.prod.linkedin.com</t>
        </is>
      </c>
      <c r="U18" s="6" t="n">
        <v>0.99</v>
      </c>
      <c r="V18" t="inlineStr">
        <is>
          <t>rule:Opportunity</t>
        </is>
      </c>
      <c r="W18" t="inlineStr">
        <is>
          <t>Opportunity</t>
        </is>
      </c>
      <c r="X18" t="inlineStr">
        <is>
          <t>Opportunity Notification</t>
        </is>
      </c>
      <c r="Y18" t="n">
        <v>0</v>
      </c>
      <c r="Z18" t="n">
        <v>0</v>
      </c>
      <c r="AA18" t="n">
        <v>0</v>
      </c>
    </row>
    <row r="19">
      <c r="A19" t="inlineStr">
        <is>
          <t>cf56a7f6cd54ea1f</t>
        </is>
      </c>
      <c r="B19" t="inlineStr">
        <is>
          <t>Recruiting</t>
        </is>
      </c>
      <c r="C19" t="inlineStr"/>
      <c r="D19" t="inlineStr"/>
      <c r="E19" t="inlineStr"/>
      <c r="F19" t="inlineStr"/>
      <c r="G19" t="inlineStr">
        <is>
          <t>Company Site</t>
        </is>
      </c>
      <c r="H19" t="inlineStr">
        <is>
          <t>Opportunity</t>
        </is>
      </c>
      <c r="I19" s="2" t="n">
        <v>46086.64811342592</v>
      </c>
      <c r="J19" s="2" t="n">
        <v>46086.64811342592</v>
      </c>
      <c r="K19" s="2" t="inlineStr"/>
      <c r="L19" s="2" t="n">
        <v>46086.64811342592</v>
      </c>
      <c r="M19" s="2" t="n">
        <v>46093.64811342592</v>
      </c>
      <c r="N19" s="3">
        <f>IF(L19="","",TODAY()-L19)</f>
        <v/>
      </c>
      <c r="O19" t="inlineStr">
        <is>
          <t>RIVO Holdings, LLC"</t>
        </is>
      </c>
      <c r="P19" t="inlineStr">
        <is>
          <t>notification@recruiting.rivoholdings.com</t>
        </is>
      </c>
      <c r="Q19" s="4" t="inlineStr"/>
      <c r="R19" s="4" t="inlineStr">
        <is>
          <t>Role ambiguous</t>
        </is>
      </c>
      <c r="S19" s="5" t="inlineStr">
        <is>
          <t>imap://Inbox;uidvalidity=1313110027;uid=397808</t>
        </is>
      </c>
      <c r="T19" t="inlineStr">
        <is>
          <t>20260305153317.598ec65f5d34f833@recruiting.rivoholdings.com</t>
        </is>
      </c>
      <c r="U19" s="6" t="n">
        <v>0.9</v>
      </c>
      <c r="V19" t="inlineStr">
        <is>
          <t>rule:Opportunity</t>
        </is>
      </c>
      <c r="W19" t="inlineStr">
        <is>
          <t>Opportunity</t>
        </is>
      </c>
      <c r="X19" t="inlineStr">
        <is>
          <t>Opportunity Notification</t>
        </is>
      </c>
      <c r="Y19" t="n">
        <v>0</v>
      </c>
      <c r="Z19" t="n">
        <v>0</v>
      </c>
      <c r="AA19" t="n">
        <v>0</v>
      </c>
    </row>
    <row r="20">
      <c r="A20" t="inlineStr">
        <is>
          <t>344aa1bed98fc315</t>
        </is>
      </c>
      <c r="B20" t="inlineStr">
        <is>
          <t>CBRE  - 263358 Transaction Analyst</t>
        </is>
      </c>
      <c r="C20" t="inlineStr"/>
      <c r="D20" t="inlineStr"/>
      <c r="E20" t="inlineStr"/>
      <c r="F20" t="inlineStr"/>
      <c r="G20" t="inlineStr">
        <is>
          <t>Company Site</t>
        </is>
      </c>
      <c r="H20" t="inlineStr">
        <is>
          <t>Interview</t>
        </is>
      </c>
      <c r="I20" s="2" t="n">
        <v>46085.94326388889</v>
      </c>
      <c r="J20" s="2" t="n">
        <v>46085.94326388889</v>
      </c>
      <c r="K20" s="2" t="inlineStr"/>
      <c r="L20" s="2" t="n">
        <v>46085.94326388889</v>
      </c>
      <c r="M20" s="2" t="n">
        <v>46090.94326388889</v>
      </c>
      <c r="N20" s="3">
        <f>IF(L20="","",TODAY()-L20)</f>
        <v/>
      </c>
      <c r="O20" t="inlineStr">
        <is>
          <t>CBRE Talent Acquisition</t>
        </is>
      </c>
      <c r="P20" t="inlineStr">
        <is>
          <t>noreply@cbre.com</t>
        </is>
      </c>
      <c r="Q20" s="4" t="inlineStr"/>
      <c r="R20" s="4" t="inlineStr">
        <is>
          <t>Role ambiguous</t>
        </is>
      </c>
      <c r="S20" s="5" t="inlineStr">
        <is>
          <t>imap://Inbox;uidvalidity=1313110027;uid=397787</t>
        </is>
      </c>
      <c r="T20" t="inlineStr">
        <is>
          <t>rkmhztmecz50adabfc_h9tkni9nxcufb@cbreglobal.avature.net</t>
        </is>
      </c>
      <c r="U20" s="6" t="n">
        <v>0.99</v>
      </c>
      <c r="V20" t="inlineStr">
        <is>
          <t>rule:InterviewRequest</t>
        </is>
      </c>
      <c r="W20" t="inlineStr">
        <is>
          <t>InterviewRequest</t>
        </is>
      </c>
      <c r="X20" t="inlineStr">
        <is>
          <t>Application Update</t>
        </is>
      </c>
      <c r="Y20" t="n">
        <v>0</v>
      </c>
      <c r="Z20" t="n">
        <v>0</v>
      </c>
      <c r="AA20" t="n">
        <v>0</v>
      </c>
    </row>
    <row r="21">
      <c r="A21" t="inlineStr">
        <is>
          <t>37e17f301ff53b25</t>
        </is>
      </c>
      <c r="B21" t="inlineStr">
        <is>
          <t>CBRE  - 260980 Sales Analyst</t>
        </is>
      </c>
      <c r="C21" t="inlineStr"/>
      <c r="D21" t="inlineStr"/>
      <c r="E21" t="inlineStr"/>
      <c r="F21" t="inlineStr"/>
      <c r="G21" t="inlineStr">
        <is>
          <t>Company Site</t>
        </is>
      </c>
      <c r="H21" t="inlineStr">
        <is>
          <t>Interview</t>
        </is>
      </c>
      <c r="I21" s="2" t="n">
        <v>46085.94099537037</v>
      </c>
      <c r="J21" s="2" t="n">
        <v>46085.94099537037</v>
      </c>
      <c r="K21" s="2" t="inlineStr"/>
      <c r="L21" s="2" t="n">
        <v>46085.94099537037</v>
      </c>
      <c r="M21" s="2" t="n">
        <v>46090.94099537037</v>
      </c>
      <c r="N21" s="3">
        <f>IF(L21="","",TODAY()-L21)</f>
        <v/>
      </c>
      <c r="O21" t="inlineStr">
        <is>
          <t>CBRE Talent Acquisition</t>
        </is>
      </c>
      <c r="P21" t="inlineStr">
        <is>
          <t>noreply@cbre.com</t>
        </is>
      </c>
      <c r="Q21" s="4" t="inlineStr"/>
      <c r="R21" s="4" t="inlineStr">
        <is>
          <t>Role ambiguous</t>
        </is>
      </c>
      <c r="S21" s="5" t="inlineStr">
        <is>
          <t>imap://Inbox;uidvalidity=1313110027;uid=397786</t>
        </is>
      </c>
      <c r="T21" t="inlineStr">
        <is>
          <t>c4xrc7lzahaxk-cyvn1rnsd_jhbtldhg@cbreglobal.avature.net</t>
        </is>
      </c>
      <c r="U21" s="6" t="n">
        <v>0.99</v>
      </c>
      <c r="V21" t="inlineStr">
        <is>
          <t>rule:InterviewRequest</t>
        </is>
      </c>
      <c r="W21" t="inlineStr">
        <is>
          <t>InterviewRequest</t>
        </is>
      </c>
      <c r="X21" t="inlineStr">
        <is>
          <t>Application Update</t>
        </is>
      </c>
      <c r="Y21" t="n">
        <v>0</v>
      </c>
      <c r="Z21" t="n">
        <v>0</v>
      </c>
      <c r="AA21" t="n">
        <v>0</v>
      </c>
    </row>
    <row r="22">
      <c r="A22" t="inlineStr">
        <is>
          <t>c90e461667a6d83d</t>
        </is>
      </c>
      <c r="B22" t="inlineStr">
        <is>
          <t>CBRE  - 262418 Lease Admin Analyst</t>
        </is>
      </c>
      <c r="C22" t="inlineStr"/>
      <c r="D22" t="inlineStr"/>
      <c r="E22" t="inlineStr"/>
      <c r="F22" t="inlineStr"/>
      <c r="G22" t="inlineStr">
        <is>
          <t>Company Site</t>
        </is>
      </c>
      <c r="H22" t="inlineStr">
        <is>
          <t>Interview</t>
        </is>
      </c>
      <c r="I22" s="2" t="n">
        <v>46085.93856481482</v>
      </c>
      <c r="J22" s="2" t="n">
        <v>46085.93856481482</v>
      </c>
      <c r="K22" s="2" t="inlineStr"/>
      <c r="L22" s="2" t="n">
        <v>46085.93856481482</v>
      </c>
      <c r="M22" s="2" t="n">
        <v>46090.93856481482</v>
      </c>
      <c r="N22" s="3">
        <f>IF(L22="","",TODAY()-L22)</f>
        <v/>
      </c>
      <c r="O22" t="inlineStr">
        <is>
          <t>CBRE Talent Acquisition</t>
        </is>
      </c>
      <c r="P22" t="inlineStr">
        <is>
          <t>noreply@cbre.com</t>
        </is>
      </c>
      <c r="Q22" s="4" t="inlineStr"/>
      <c r="R22" s="4" t="inlineStr">
        <is>
          <t>Role ambiguous</t>
        </is>
      </c>
      <c r="S22" s="5" t="inlineStr">
        <is>
          <t>imap://Inbox;uidvalidity=1313110027;uid=397785</t>
        </is>
      </c>
      <c r="T22" t="inlineStr">
        <is>
          <t>wweeyqg-qc5jagfq3kcd0qun1-e5xkmg@cbreglobal.avature.net</t>
        </is>
      </c>
      <c r="U22" s="6" t="n">
        <v>0.99</v>
      </c>
      <c r="V22" t="inlineStr">
        <is>
          <t>rule:InterviewRequest</t>
        </is>
      </c>
      <c r="W22" t="inlineStr">
        <is>
          <t>InterviewRequest</t>
        </is>
      </c>
      <c r="X22" t="inlineStr">
        <is>
          <t>Application Update</t>
        </is>
      </c>
      <c r="Y22" t="n">
        <v>0</v>
      </c>
      <c r="Z22" t="n">
        <v>0</v>
      </c>
      <c r="AA22" t="n">
        <v>0</v>
      </c>
    </row>
    <row r="23">
      <c r="A23" t="inlineStr">
        <is>
          <t>fd859193164f3ec2</t>
        </is>
      </c>
      <c r="B23" t="inlineStr">
        <is>
          <t>the Game Operations Analyst - Trading pos</t>
        </is>
      </c>
      <c r="C23" t="inlineStr"/>
      <c r="D23" t="inlineStr"/>
      <c r="E23" t="inlineStr"/>
      <c r="F23" t="inlineStr"/>
      <c r="G23" t="inlineStr">
        <is>
          <t>Company Site</t>
        </is>
      </c>
      <c r="H23" t="inlineStr">
        <is>
          <t>Applied</t>
        </is>
      </c>
      <c r="I23" s="2" t="n">
        <v>46085.93849537037</v>
      </c>
      <c r="J23" s="2" t="n">
        <v>46085.93849537037</v>
      </c>
      <c r="K23" s="2" t="n">
        <v>46085.93849537037</v>
      </c>
      <c r="L23" s="2" t="n">
        <v>46085.93849537037</v>
      </c>
      <c r="M23" s="2" t="n">
        <v>46095.93849537037</v>
      </c>
      <c r="N23" s="3">
        <f>IF(L23="","",TODAY()-L23)</f>
        <v/>
      </c>
      <c r="O23" t="inlineStr"/>
      <c r="P23" t="inlineStr">
        <is>
          <t>no-reply@us.greenhouse-mail.io</t>
        </is>
      </c>
      <c r="Q23" s="4" t="inlineStr"/>
      <c r="R23" s="4" t="inlineStr">
        <is>
          <t>Role ambiguous</t>
        </is>
      </c>
      <c r="S23" s="5" t="inlineStr">
        <is>
          <t>imap://Inbox;uidvalidity=1313110027;uid=397784</t>
        </is>
      </c>
      <c r="T23" t="inlineStr">
        <is>
          <t>20260304223126.5c7888ce16cc627e@us.greenhouse-mail.io</t>
        </is>
      </c>
      <c r="U23" s="6" t="n">
        <v>0.7</v>
      </c>
      <c r="V23" t="inlineStr">
        <is>
          <t>rule:ApplicationConfirmation</t>
        </is>
      </c>
      <c r="W23" t="inlineStr">
        <is>
          <t>ApplicationConfirmation</t>
        </is>
      </c>
      <c r="X23" t="inlineStr">
        <is>
          <t>Application Confirmation</t>
        </is>
      </c>
      <c r="Y23" t="n">
        <v>0</v>
      </c>
      <c r="Z23" t="n">
        <v>0</v>
      </c>
      <c r="AA23" t="n">
        <v>0</v>
      </c>
    </row>
    <row r="24">
      <c r="A24" t="inlineStr">
        <is>
          <t>24452bca6641480f</t>
        </is>
      </c>
      <c r="B24" t="inlineStr">
        <is>
          <t>CBRE  - 263903 Finance Analyst</t>
        </is>
      </c>
      <c r="C24" t="inlineStr"/>
      <c r="D24" t="inlineStr"/>
      <c r="E24" t="inlineStr"/>
      <c r="F24" t="inlineStr"/>
      <c r="G24" t="inlineStr">
        <is>
          <t>Company Site</t>
        </is>
      </c>
      <c r="H24" t="inlineStr">
        <is>
          <t>Interview</t>
        </is>
      </c>
      <c r="I24" s="2" t="n">
        <v>46085.93695601852</v>
      </c>
      <c r="J24" s="2" t="n">
        <v>46085.93695601852</v>
      </c>
      <c r="K24" s="2" t="inlineStr"/>
      <c r="L24" s="2" t="n">
        <v>46085.93695601852</v>
      </c>
      <c r="M24" s="2" t="n">
        <v>46090.93695601852</v>
      </c>
      <c r="N24" s="3">
        <f>IF(L24="","",TODAY()-L24)</f>
        <v/>
      </c>
      <c r="O24" t="inlineStr">
        <is>
          <t>CBRE Talent Acquisition</t>
        </is>
      </c>
      <c r="P24" t="inlineStr">
        <is>
          <t>noreply@cbre.com</t>
        </is>
      </c>
      <c r="Q24" s="4" t="inlineStr"/>
      <c r="R24" s="4" t="inlineStr">
        <is>
          <t>Role ambiguous</t>
        </is>
      </c>
      <c r="S24" s="5" t="inlineStr">
        <is>
          <t>imap://Inbox;uidvalidity=1313110027;uid=397783</t>
        </is>
      </c>
      <c r="T24" t="inlineStr">
        <is>
          <t>g2ojjitgi63zanpdg6vcaiseeqtipjrx@cbreglobal.avature.net</t>
        </is>
      </c>
      <c r="U24" s="6" t="n">
        <v>0.99</v>
      </c>
      <c r="V24" t="inlineStr">
        <is>
          <t>rule:InterviewRequest</t>
        </is>
      </c>
      <c r="W24" t="inlineStr">
        <is>
          <t>InterviewRequest</t>
        </is>
      </c>
      <c r="X24" t="inlineStr">
        <is>
          <t>Application Update</t>
        </is>
      </c>
      <c r="Y24" t="n">
        <v>0</v>
      </c>
      <c r="Z24" t="n">
        <v>0</v>
      </c>
      <c r="AA24" t="n">
        <v>0</v>
      </c>
    </row>
    <row r="25">
      <c r="A25" t="inlineStr">
        <is>
          <t>8afd2fcb5af856be</t>
        </is>
      </c>
      <c r="B25" t="inlineStr">
        <is>
          <t>Blytheco for the Associate Strategy Analy</t>
        </is>
      </c>
      <c r="C25" t="inlineStr">
        <is>
          <t>Applying to st</t>
        </is>
      </c>
      <c r="D25" t="inlineStr"/>
      <c r="E25" t="inlineStr"/>
      <c r="F25" t="inlineStr"/>
      <c r="G25" t="inlineStr">
        <is>
          <t>Company Site</t>
        </is>
      </c>
      <c r="H25" t="inlineStr">
        <is>
          <t>Opportunity</t>
        </is>
      </c>
      <c r="I25" s="2" t="n">
        <v>46085.91747685185</v>
      </c>
      <c r="J25" s="2" t="n">
        <v>46085.91747685185</v>
      </c>
      <c r="K25" s="2" t="inlineStr"/>
      <c r="L25" s="2" t="n">
        <v>46085.91747685185</v>
      </c>
      <c r="M25" s="2" t="n">
        <v>46092.91747685185</v>
      </c>
      <c r="N25" s="3">
        <f>IF(L25="","",TODAY()-L25)</f>
        <v/>
      </c>
      <c r="O25" t="inlineStr"/>
      <c r="P25" t="inlineStr">
        <is>
          <t>recruiting@blytheco.com</t>
        </is>
      </c>
      <c r="Q25" s="4" t="inlineStr"/>
      <c r="R25" s="4" t="inlineStr"/>
      <c r="S25" s="5" t="inlineStr">
        <is>
          <t>imap://Inbox;uidvalidity=1313110027;uid=397772</t>
        </is>
      </c>
      <c r="T25" t="inlineStr">
        <is>
          <t>20260304220110.04d2a1f762acbe7d@gh-mail.blytheco.com</t>
        </is>
      </c>
      <c r="U25" s="6" t="n">
        <v>0.75</v>
      </c>
      <c r="V25" t="inlineStr">
        <is>
          <t>rule:Opportunity</t>
        </is>
      </c>
      <c r="W25" t="inlineStr">
        <is>
          <t>Opportunity</t>
        </is>
      </c>
      <c r="X25" t="inlineStr">
        <is>
          <t>Opportunity Notification</t>
        </is>
      </c>
      <c r="Y25" t="n">
        <v>0</v>
      </c>
      <c r="Z25" t="n">
        <v>0</v>
      </c>
      <c r="AA25" t="n">
        <v>0</v>
      </c>
    </row>
    <row r="26">
      <c r="A26" t="inlineStr">
        <is>
          <t>4970d2f62495dad8</t>
        </is>
      </c>
      <c r="B26" t="inlineStr">
        <is>
          <t>Affirm</t>
        </is>
      </c>
      <c r="C26" t="inlineStr">
        <is>
          <t>Analyst I, Merchant Risk</t>
        </is>
      </c>
      <c r="D26" t="inlineStr"/>
      <c r="E26" t="inlineStr"/>
      <c r="F26" t="inlineStr"/>
      <c r="G26" t="inlineStr">
        <is>
          <t>Company Site</t>
        </is>
      </c>
      <c r="H26" t="inlineStr">
        <is>
          <t>Applied</t>
        </is>
      </c>
      <c r="I26" s="2" t="n">
        <v>46085.81253472222</v>
      </c>
      <c r="J26" s="2" t="n">
        <v>46085.81253472222</v>
      </c>
      <c r="K26" s="2" t="n">
        <v>46085.81253472222</v>
      </c>
      <c r="L26" s="2" t="n">
        <v>46085.81253472222</v>
      </c>
      <c r="M26" s="2" t="n">
        <v>46095.81253472222</v>
      </c>
      <c r="N26" s="3">
        <f>IF(L26="","",TODAY()-L26)</f>
        <v/>
      </c>
      <c r="O26" t="inlineStr"/>
      <c r="P26" t="inlineStr">
        <is>
          <t>no-reply@us.greenhouse-mail.io</t>
        </is>
      </c>
      <c r="Q26" s="4" t="inlineStr"/>
      <c r="R26" s="4" t="inlineStr"/>
      <c r="S26" s="5" t="inlineStr">
        <is>
          <t>imap://Inbox;uidvalidity=1313110027;uid=397759</t>
        </is>
      </c>
      <c r="T26" t="inlineStr">
        <is>
          <t>20260304193003.b911fb5ac92caf16@us.greenhouse-mail.io</t>
        </is>
      </c>
      <c r="U26" s="6" t="n">
        <v>0.7</v>
      </c>
      <c r="V26" t="inlineStr">
        <is>
          <t>rule:ApplicationConfirmation</t>
        </is>
      </c>
      <c r="W26" t="inlineStr">
        <is>
          <t>ApplicationConfirmation</t>
        </is>
      </c>
      <c r="X26" t="inlineStr">
        <is>
          <t>Application Confirmation</t>
        </is>
      </c>
      <c r="Y26" t="n">
        <v>0</v>
      </c>
      <c r="Z26" t="n">
        <v>0</v>
      </c>
      <c r="AA26" t="n">
        <v>0</v>
      </c>
    </row>
    <row r="27">
      <c r="A27" t="inlineStr">
        <is>
          <t>54d592d0a0e648fa</t>
        </is>
      </c>
      <c r="B27" t="inlineStr">
        <is>
          <t>Agavito</t>
        </is>
      </c>
      <c r="C27" t="inlineStr"/>
      <c r="D27" t="inlineStr"/>
      <c r="E27" t="inlineStr"/>
      <c r="F27" t="inlineStr"/>
      <c r="G27" t="inlineStr">
        <is>
          <t>Company Site</t>
        </is>
      </c>
      <c r="H27" t="inlineStr">
        <is>
          <t>Applied</t>
        </is>
      </c>
      <c r="I27" s="2" t="n">
        <v>46085.81002314815</v>
      </c>
      <c r="J27" s="2" t="n">
        <v>46085.81002314815</v>
      </c>
      <c r="K27" s="2" t="n">
        <v>46085.81002314815</v>
      </c>
      <c r="L27" s="2" t="n">
        <v>46085.81002314815</v>
      </c>
      <c r="M27" s="2" t="n">
        <v>46095.81002314815</v>
      </c>
      <c r="N27" s="3">
        <f>IF(L27="","",TODAY()-L27)</f>
        <v/>
      </c>
      <c r="O27" t="inlineStr">
        <is>
          <t>Ashly Gavito | Poudre Valley REA</t>
        </is>
      </c>
      <c r="P27" t="inlineStr">
        <is>
          <t>agavito@pvrea.hire.trakstar.com</t>
        </is>
      </c>
      <c r="Q27" s="4" t="inlineStr"/>
      <c r="R27" s="4" t="inlineStr">
        <is>
          <t>Role ambiguous</t>
        </is>
      </c>
      <c r="S27" s="5" t="inlineStr">
        <is>
          <t>imap://Inbox;uidvalidity=1313110027;uid=397758</t>
        </is>
      </c>
      <c r="T27" t="inlineStr">
        <is>
          <t>177265238610.2330.5322627400343854872@mails.hire.trakstar.com</t>
        </is>
      </c>
      <c r="U27" s="6" t="n">
        <v>0.7</v>
      </c>
      <c r="V27" t="inlineStr">
        <is>
          <t>rule:ApplicationConfirmation</t>
        </is>
      </c>
      <c r="W27" t="inlineStr">
        <is>
          <t>ApplicationConfirmation</t>
        </is>
      </c>
      <c r="X27" t="inlineStr">
        <is>
          <t>Application Confirmation</t>
        </is>
      </c>
      <c r="Y27" t="n">
        <v>0</v>
      </c>
      <c r="Z27" t="n">
        <v>0</v>
      </c>
      <c r="AA27" t="n">
        <v>0</v>
      </c>
    </row>
    <row r="28">
      <c r="A28" t="inlineStr">
        <is>
          <t>a0cf61a1918e98fc</t>
        </is>
      </c>
      <c r="B28" t="inlineStr">
        <is>
          <t>Fcgov</t>
        </is>
      </c>
      <c r="C28" t="inlineStr"/>
      <c r="D28" t="inlineStr"/>
      <c r="E28" t="inlineStr">
        <is>
          <t>req8358</t>
        </is>
      </c>
      <c r="F28" t="inlineStr"/>
      <c r="G28" t="inlineStr">
        <is>
          <t>Company Site</t>
        </is>
      </c>
      <c r="H28" t="inlineStr">
        <is>
          <t>Applied</t>
        </is>
      </c>
      <c r="I28" s="2" t="n">
        <v>46085.80552083333</v>
      </c>
      <c r="J28" s="2" t="n">
        <v>46085.80552083333</v>
      </c>
      <c r="K28" s="2" t="n">
        <v>46085.80552083333</v>
      </c>
      <c r="L28" s="2" t="n">
        <v>46085.80552083333</v>
      </c>
      <c r="M28" s="2" t="n">
        <v>46095.80552083333</v>
      </c>
      <c r="N28" s="3">
        <f>IF(L28="","",TODAY()-L28)</f>
        <v/>
      </c>
      <c r="O28" t="inlineStr"/>
      <c r="P28" t="inlineStr">
        <is>
          <t>no_reply@fcgov.com</t>
        </is>
      </c>
      <c r="Q28" s="4" t="inlineStr"/>
      <c r="R28" s="4" t="inlineStr">
        <is>
          <t>Role ambiguous</t>
        </is>
      </c>
      <c r="S28" s="5" t="inlineStr">
        <is>
          <t>imap://Inbox;uidvalidity=1313110027;uid=397757</t>
        </is>
      </c>
      <c r="T28" t="inlineStr">
        <is>
          <t>b4eeyw1unsu4.98n6da9jjcii2@7f6f0e9637d8</t>
        </is>
      </c>
      <c r="U28" s="6" t="n">
        <v>0.7</v>
      </c>
      <c r="V28" t="inlineStr">
        <is>
          <t>rule:ApplicationConfirmation</t>
        </is>
      </c>
      <c r="W28" t="inlineStr">
        <is>
          <t>ApplicationConfirmation</t>
        </is>
      </c>
      <c r="X28" t="inlineStr">
        <is>
          <t>Application Confirmation</t>
        </is>
      </c>
      <c r="Y28" t="n">
        <v>0</v>
      </c>
      <c r="Z28" t="n">
        <v>0</v>
      </c>
      <c r="AA28" t="n">
        <v>0</v>
      </c>
    </row>
    <row r="29">
      <c r="A29" t="inlineStr">
        <is>
          <t>e0da5fc080763086</t>
        </is>
      </c>
      <c r="B29" t="inlineStr">
        <is>
          <t>Randstad</t>
        </is>
      </c>
      <c r="C29" t="inlineStr"/>
      <c r="D29" t="inlineStr"/>
      <c r="E29" t="inlineStr"/>
      <c r="F29" t="inlineStr"/>
      <c r="G29" t="inlineStr">
        <is>
          <t>Company Site</t>
        </is>
      </c>
      <c r="H29" t="inlineStr">
        <is>
          <t>Opportunity</t>
        </is>
      </c>
      <c r="I29" s="2" t="n">
        <v>46085.8006712963</v>
      </c>
      <c r="J29" s="2" t="n">
        <v>46085.8006712963</v>
      </c>
      <c r="K29" s="2" t="inlineStr"/>
      <c r="L29" s="2" t="n">
        <v>46085.8006712963</v>
      </c>
      <c r="M29" s="2" t="n">
        <v>46092.8006712963</v>
      </c>
      <c r="N29" s="3">
        <f>IF(L29="","",TODAY()-L29)</f>
        <v/>
      </c>
      <c r="O29" t="inlineStr">
        <is>
          <t>Randstad</t>
        </is>
      </c>
      <c r="P29" t="inlineStr">
        <is>
          <t>no-reply@randstadusa.com</t>
        </is>
      </c>
      <c r="Q29" s="4" t="inlineStr"/>
      <c r="R29" s="4" t="inlineStr">
        <is>
          <t>Role ambiguous</t>
        </is>
      </c>
      <c r="S29" s="5" t="inlineStr">
        <is>
          <t>imap://Inbox;uidvalidity=1313110027;uid=397755</t>
        </is>
      </c>
      <c r="T29" t="inlineStr">
        <is>
          <t>ugsdcbpfquijeaqjh3i4eg@geopod-ismtpd-canary-0</t>
        </is>
      </c>
      <c r="U29" s="6" t="n">
        <v>0.9</v>
      </c>
      <c r="V29" t="inlineStr">
        <is>
          <t>rule:Opportunity</t>
        </is>
      </c>
      <c r="W29" t="inlineStr">
        <is>
          <t>Opportunity</t>
        </is>
      </c>
      <c r="X29" t="inlineStr">
        <is>
          <t>Opportunity Notification</t>
        </is>
      </c>
      <c r="Y29" t="n">
        <v>0</v>
      </c>
      <c r="Z29" t="n">
        <v>0</v>
      </c>
      <c r="AA29" t="n">
        <v>0</v>
      </c>
    </row>
    <row r="30">
      <c r="A30" t="inlineStr">
        <is>
          <t>4d7416dc12932353</t>
        </is>
      </c>
      <c r="B30" t="inlineStr">
        <is>
          <t>Randstad USA</t>
        </is>
      </c>
      <c r="C30" t="inlineStr"/>
      <c r="D30" t="inlineStr"/>
      <c r="E30" t="inlineStr"/>
      <c r="F30" t="inlineStr"/>
      <c r="G30" t="inlineStr">
        <is>
          <t>Company Site</t>
        </is>
      </c>
      <c r="H30" t="inlineStr">
        <is>
          <t>Applied</t>
        </is>
      </c>
      <c r="I30" s="2" t="n">
        <v>46085.80003472222</v>
      </c>
      <c r="J30" s="2" t="n">
        <v>46085.80003472222</v>
      </c>
      <c r="K30" s="2" t="n">
        <v>46085.80003472222</v>
      </c>
      <c r="L30" s="2" t="n">
        <v>46085.80003472222</v>
      </c>
      <c r="M30" s="2" t="n">
        <v>46095.80003472222</v>
      </c>
      <c r="N30" s="3">
        <f>IF(L30="","",TODAY()-L30)</f>
        <v/>
      </c>
      <c r="O30" t="inlineStr">
        <is>
          <t>Randstad USA</t>
        </is>
      </c>
      <c r="P30" t="inlineStr">
        <is>
          <t>donotreply@randstadusa.com</t>
        </is>
      </c>
      <c r="Q30" s="4" t="inlineStr"/>
      <c r="R30" s="4" t="inlineStr">
        <is>
          <t>Role ambiguous</t>
        </is>
      </c>
      <c r="S30" s="5" t="inlineStr">
        <is>
          <t>imap://Inbox;uidvalidity=1313110027;uid=397754</t>
        </is>
      </c>
      <c r="T30" t="inlineStr">
        <is>
          <t>fsdbdkcittwwv3qqjxs_vw@geopod-ismtpd-21</t>
        </is>
      </c>
      <c r="U30" s="6" t="n">
        <v>0.7</v>
      </c>
      <c r="V30" t="inlineStr">
        <is>
          <t>rule:ApplicationConfirmation</t>
        </is>
      </c>
      <c r="W30" t="inlineStr">
        <is>
          <t>ApplicationConfirmation</t>
        </is>
      </c>
      <c r="X30" t="inlineStr">
        <is>
          <t>Application Confirmation</t>
        </is>
      </c>
      <c r="Y30" t="n">
        <v>0</v>
      </c>
      <c r="Z30" t="n">
        <v>0</v>
      </c>
      <c r="AA30" t="n">
        <v>0</v>
      </c>
    </row>
    <row r="31">
      <c r="A31" t="inlineStr">
        <is>
          <t>52ebce6deb2606d3</t>
        </is>
      </c>
      <c r="B31" t="inlineStr">
        <is>
          <t>Sierraspace</t>
        </is>
      </c>
      <c r="C31" t="inlineStr"/>
      <c r="D31" t="inlineStr"/>
      <c r="E31" t="inlineStr"/>
      <c r="F31" t="inlineStr"/>
      <c r="G31" t="inlineStr">
        <is>
          <t>Company Site</t>
        </is>
      </c>
      <c r="H31" t="inlineStr">
        <is>
          <t>Applied</t>
        </is>
      </c>
      <c r="I31" s="2" t="n">
        <v>46085.7685300926</v>
      </c>
      <c r="J31" s="2" t="n">
        <v>46085.7685300926</v>
      </c>
      <c r="K31" s="2" t="n">
        <v>46085.7685300926</v>
      </c>
      <c r="L31" s="2" t="n">
        <v>46085.7685300926</v>
      </c>
      <c r="M31" s="2" t="n">
        <v>46095.7685300926</v>
      </c>
      <c r="N31" s="3">
        <f>IF(L31="","",TODAY()-L31)</f>
        <v/>
      </c>
      <c r="O31" t="inlineStr">
        <is>
          <t>Sierra Space Workday</t>
        </is>
      </c>
      <c r="P31" t="inlineStr">
        <is>
          <t>sierraspace@myworkday.com</t>
        </is>
      </c>
      <c r="Q31" s="4" t="inlineStr"/>
      <c r="R31" s="4" t="inlineStr">
        <is>
          <t>Role ambiguous</t>
        </is>
      </c>
      <c r="S31" s="5" t="inlineStr">
        <is>
          <t>imap://Inbox;uidvalidity=1313110027;uid=397748</t>
        </is>
      </c>
      <c r="T31" t="inlineStr">
        <is>
          <t>0100019cba1a2491-d1a077cb-f048-4565-bdf9-02d8df08cd4f-000000@email.amazonses.com</t>
        </is>
      </c>
      <c r="U31" s="6" t="n">
        <v>0.7</v>
      </c>
      <c r="V31" t="inlineStr">
        <is>
          <t>rule:ApplicationConfirmation</t>
        </is>
      </c>
      <c r="W31" t="inlineStr">
        <is>
          <t>ApplicationConfirmation</t>
        </is>
      </c>
      <c r="X31" t="inlineStr">
        <is>
          <t>Application Confirmation</t>
        </is>
      </c>
      <c r="Y31" t="n">
        <v>0</v>
      </c>
      <c r="Z31" t="n">
        <v>0</v>
      </c>
      <c r="AA31" t="n">
        <v>0</v>
      </c>
    </row>
    <row r="32">
      <c r="A32" t="inlineStr">
        <is>
          <t>4faf7dc5587fc456</t>
        </is>
      </c>
      <c r="B32" t="inlineStr">
        <is>
          <t>Cribl - Data Analyst</t>
        </is>
      </c>
      <c r="C32" t="inlineStr">
        <is>
          <t>Culture</t>
        </is>
      </c>
      <c r="D32" t="inlineStr"/>
      <c r="E32" t="inlineStr"/>
      <c r="F32" s="5" t="inlineStr">
        <is>
          <t>https://cribl.io/careers/culture-at-cribl/</t>
        </is>
      </c>
      <c r="G32" t="inlineStr">
        <is>
          <t>Company Site</t>
        </is>
      </c>
      <c r="H32" t="inlineStr">
        <is>
          <t>Interview</t>
        </is>
      </c>
      <c r="I32" s="2" t="n">
        <v>46084.97780092592</v>
      </c>
      <c r="J32" s="2" t="n">
        <v>46084.97780092592</v>
      </c>
      <c r="K32" s="2" t="inlineStr"/>
      <c r="L32" s="2" t="n">
        <v>46084.97780092592</v>
      </c>
      <c r="M32" s="2" t="n">
        <v>46089.97780092592</v>
      </c>
      <c r="N32" s="3">
        <f>IF(L32="","",TODAY()-L32)</f>
        <v/>
      </c>
      <c r="O32" t="inlineStr"/>
      <c r="P32" t="inlineStr">
        <is>
          <t>no-reply@us.greenhouse-mail.io</t>
        </is>
      </c>
      <c r="Q32" s="4" t="inlineStr"/>
      <c r="R32" s="4" t="inlineStr"/>
      <c r="S32" s="5" t="inlineStr">
        <is>
          <t>imap://Inbox;uidvalidity=1313110027;uid=397712</t>
        </is>
      </c>
      <c r="T32" t="inlineStr">
        <is>
          <t>20260303232802.229c41d1af112c59@us.greenhouse-mail.io</t>
        </is>
      </c>
      <c r="U32" s="6" t="n">
        <v>0.8500000000000001</v>
      </c>
      <c r="V32" t="inlineStr">
        <is>
          <t>rule:InterviewRequest</t>
        </is>
      </c>
      <c r="W32" t="inlineStr">
        <is>
          <t>InterviewRequest</t>
        </is>
      </c>
      <c r="X32" t="inlineStr">
        <is>
          <t>Application Update</t>
        </is>
      </c>
      <c r="Y32" t="n">
        <v>0</v>
      </c>
      <c r="Z32" t="n">
        <v>0</v>
      </c>
      <c r="AA32" t="n">
        <v>0</v>
      </c>
    </row>
    <row r="33">
      <c r="A33" t="inlineStr">
        <is>
          <t>1c0d7215e580263b</t>
        </is>
      </c>
      <c r="B33" t="inlineStr">
        <is>
          <t>Spectraforce</t>
        </is>
      </c>
      <c r="C33" t="inlineStr">
        <is>
          <t>Regulatory Science Operations Team – Submission Support Associate&lt;/strong&gt;&lt;br&gt;</t>
        </is>
      </c>
      <c r="D33" t="inlineStr"/>
      <c r="E33" t="inlineStr"/>
      <c r="F33" t="inlineStr"/>
      <c r="G33" t="inlineStr">
        <is>
          <t>Company Site</t>
        </is>
      </c>
      <c r="H33" t="inlineStr">
        <is>
          <t>Opportunity</t>
        </is>
      </c>
      <c r="I33" s="2" t="n">
        <v>46084.96399305556</v>
      </c>
      <c r="J33" s="2" t="n">
        <v>46084.96399305556</v>
      </c>
      <c r="K33" s="2" t="inlineStr"/>
      <c r="L33" s="2" t="n">
        <v>46084.96399305556</v>
      </c>
      <c r="M33" s="2" t="n">
        <v>46091.96399305556</v>
      </c>
      <c r="N33" s="3">
        <f>IF(L33="","",TODAY()-L33)</f>
        <v/>
      </c>
      <c r="O33" t="inlineStr">
        <is>
          <t>Aarushi S</t>
        </is>
      </c>
      <c r="P33" t="inlineStr">
        <is>
          <t>aarushi.s@spectraforce.com</t>
        </is>
      </c>
      <c r="Q33" s="4" t="inlineStr"/>
      <c r="R33" s="4" t="inlineStr"/>
      <c r="S33" s="5" t="inlineStr">
        <is>
          <t>imap://Inbox;uidvalidity=1313110027;uid=397711</t>
        </is>
      </c>
      <c r="T33" t="inlineStr">
        <is>
          <t>9bfb9a03-dd0f-4119-9dc9-e77fbafaac4e@connect.goarya.com</t>
        </is>
      </c>
      <c r="U33" s="6" t="n">
        <v>0.75</v>
      </c>
      <c r="V33" t="inlineStr">
        <is>
          <t>rule:Opportunity</t>
        </is>
      </c>
      <c r="W33" t="inlineStr">
        <is>
          <t>Opportunity</t>
        </is>
      </c>
      <c r="X33" t="inlineStr">
        <is>
          <t>Opportunity Notification</t>
        </is>
      </c>
      <c r="Y33" t="n">
        <v>0</v>
      </c>
      <c r="Z33" t="n">
        <v>0</v>
      </c>
      <c r="AA33" t="n">
        <v>0</v>
      </c>
    </row>
    <row r="34">
      <c r="A34" t="inlineStr">
        <is>
          <t>14229e2186585870</t>
        </is>
      </c>
      <c r="B34" t="inlineStr">
        <is>
          <t>our role</t>
        </is>
      </c>
      <c r="C34" t="inlineStr"/>
      <c r="D34" t="inlineStr"/>
      <c r="E34" t="inlineStr"/>
      <c r="F34" t="inlineStr"/>
      <c r="G34" t="inlineStr">
        <is>
          <t>Company Site</t>
        </is>
      </c>
      <c r="H34" t="inlineStr">
        <is>
          <t>Applied</t>
        </is>
      </c>
      <c r="I34" s="2" t="n">
        <v>46084.89914351852</v>
      </c>
      <c r="J34" s="2" t="n">
        <v>46084.89914351852</v>
      </c>
      <c r="K34" s="2" t="n">
        <v>46084.89914351852</v>
      </c>
      <c r="L34" s="2" t="n">
        <v>46084.89914351852</v>
      </c>
      <c r="M34" s="2" t="n">
        <v>46094.89914351852</v>
      </c>
      <c r="N34" s="3">
        <f>IF(L34="","",TODAY()-L34)</f>
        <v/>
      </c>
      <c r="O34" t="inlineStr">
        <is>
          <t>Crusoe Hiring Team</t>
        </is>
      </c>
      <c r="P34" t="inlineStr">
        <is>
          <t>no-reply@ashbyhq.com</t>
        </is>
      </c>
      <c r="Q34" s="4" t="inlineStr"/>
      <c r="R34" s="4" t="inlineStr">
        <is>
          <t>Role ambiguous</t>
        </is>
      </c>
      <c r="S34" s="5" t="inlineStr">
        <is>
          <t>imap://Inbox;uidvalidity=1313110027;uid=397705</t>
        </is>
      </c>
      <c r="T34" t="inlineStr">
        <is>
          <t>0100019cb59ff965-7e6c5470-249d-4796-a796-442b0cb7fda3-000000@email.amazonses.com</t>
        </is>
      </c>
      <c r="U34" s="6" t="n">
        <v>0.95</v>
      </c>
      <c r="V34" t="inlineStr">
        <is>
          <t>rule:ApplicationConfirmation</t>
        </is>
      </c>
      <c r="W34" t="inlineStr">
        <is>
          <t>ApplicationConfirmation</t>
        </is>
      </c>
      <c r="X34" t="inlineStr">
        <is>
          <t>Application Confirmation</t>
        </is>
      </c>
      <c r="Y34" t="n">
        <v>0</v>
      </c>
      <c r="Z34" t="n">
        <v>0</v>
      </c>
      <c r="AA34" t="n">
        <v>0</v>
      </c>
    </row>
    <row r="35">
      <c r="A35" t="inlineStr">
        <is>
          <t>1c8a4617901ec1a2</t>
        </is>
      </c>
      <c r="B35" t="inlineStr">
        <is>
          <t>Care Access</t>
        </is>
      </c>
      <c r="C35" t="inlineStr"/>
      <c r="D35" t="inlineStr"/>
      <c r="E35" t="inlineStr"/>
      <c r="F35" t="inlineStr"/>
      <c r="G35" t="inlineStr">
        <is>
          <t>Company Site</t>
        </is>
      </c>
      <c r="H35" t="inlineStr">
        <is>
          <t>Applied</t>
        </is>
      </c>
      <c r="I35" s="2" t="n">
        <v>46084.88196759259</v>
      </c>
      <c r="J35" s="2" t="n">
        <v>46084.88196759259</v>
      </c>
      <c r="K35" s="2" t="n">
        <v>46084.88196759259</v>
      </c>
      <c r="L35" s="2" t="n">
        <v>46084.88196759259</v>
      </c>
      <c r="M35" s="2" t="n">
        <v>46094.88196759259</v>
      </c>
      <c r="N35" s="3">
        <f>IF(L35="","",TODAY()-L35)</f>
        <v/>
      </c>
      <c r="O35" t="inlineStr"/>
      <c r="P35" t="inlineStr">
        <is>
          <t>no-reply@us.greenhouse-mail.io</t>
        </is>
      </c>
      <c r="Q35" s="4" t="inlineStr"/>
      <c r="R35" s="4" t="inlineStr">
        <is>
          <t>Role ambiguous</t>
        </is>
      </c>
      <c r="S35" s="5" t="inlineStr">
        <is>
          <t>imap://Inbox;uidvalidity=1313110027;uid=397700</t>
        </is>
      </c>
      <c r="T35" t="inlineStr">
        <is>
          <t>20260303211002.1852b3316e9da2ad@us.greenhouse-mail.io</t>
        </is>
      </c>
      <c r="U35" s="6" t="n">
        <v>0.7</v>
      </c>
      <c r="V35" t="inlineStr">
        <is>
          <t>rule:ApplicationConfirmation</t>
        </is>
      </c>
      <c r="W35" t="inlineStr">
        <is>
          <t>ApplicationConfirmation</t>
        </is>
      </c>
      <c r="X35" t="inlineStr">
        <is>
          <t>Application Confirmation</t>
        </is>
      </c>
      <c r="Y35" t="n">
        <v>0</v>
      </c>
      <c r="Z35" t="n">
        <v>0</v>
      </c>
      <c r="AA35" t="n">
        <v>0</v>
      </c>
    </row>
    <row r="36">
      <c r="A36" t="inlineStr">
        <is>
          <t>ffc4510236fa14b9</t>
        </is>
      </c>
      <c r="B36" t="inlineStr">
        <is>
          <t>Baldwin</t>
        </is>
      </c>
      <c r="C36" t="inlineStr"/>
      <c r="D36" t="inlineStr"/>
      <c r="E36" t="inlineStr"/>
      <c r="F36" t="inlineStr"/>
      <c r="G36" t="inlineStr">
        <is>
          <t>Company Site</t>
        </is>
      </c>
      <c r="H36" t="inlineStr">
        <is>
          <t>Applied</t>
        </is>
      </c>
      <c r="I36" s="2" t="n">
        <v>46084.79834490741</v>
      </c>
      <c r="J36" s="2" t="n">
        <v>46084.79834490741</v>
      </c>
      <c r="K36" s="2" t="n">
        <v>46084.79834490741</v>
      </c>
      <c r="L36" s="2" t="n">
        <v>46084.88</v>
      </c>
      <c r="M36" s="2" t="n">
        <v>46094.79834490741</v>
      </c>
      <c r="N36" s="3">
        <f>IF(L36="","",TODAY()-L36)</f>
        <v/>
      </c>
      <c r="O36" t="inlineStr"/>
      <c r="P36" t="inlineStr">
        <is>
          <t>baldwin@myworkday.com</t>
        </is>
      </c>
      <c r="Q36" s="4" t="inlineStr"/>
      <c r="R36" s="4" t="inlineStr">
        <is>
          <t>Role ambiguous</t>
        </is>
      </c>
      <c r="S36" s="5" t="inlineStr">
        <is>
          <t>imap://Inbox;uidvalidity=1313110027;uid=397691</t>
        </is>
      </c>
      <c r="T36" t="inlineStr">
        <is>
          <t>0100019cb586bcd4-9bf047d6-9903-47d5-be67-985d52db5c7b-000000@email.amazonses.com</t>
        </is>
      </c>
      <c r="U36" s="6" t="n">
        <v>0.95</v>
      </c>
      <c r="V36" t="inlineStr">
        <is>
          <t>rule:ApplicationConfirmation</t>
        </is>
      </c>
      <c r="W36" t="inlineStr">
        <is>
          <t>ApplicationConfirmation</t>
        </is>
      </c>
      <c r="X36" t="inlineStr">
        <is>
          <t>Application Confirmation</t>
        </is>
      </c>
      <c r="Y36" t="n">
        <v>0</v>
      </c>
      <c r="Z36" t="n">
        <v>0</v>
      </c>
      <c r="AA36" t="n">
        <v>0</v>
      </c>
    </row>
    <row r="37">
      <c r="A37" t="inlineStr">
        <is>
          <t>f96cc7ed8b95f1a8</t>
        </is>
      </c>
      <c r="B37" t="inlineStr">
        <is>
          <t>Seagate</t>
        </is>
      </c>
      <c r="C37" t="inlineStr"/>
      <c r="D37" t="inlineStr"/>
      <c r="E37" t="inlineStr"/>
      <c r="F37" s="5" t="inlineStr">
        <is>
          <t>https://career41.sapsf.com/career?career_ns=job_application&amp;navBarLevel=JOB_MGMT&amp;subNavBarLevel=JOB_APPLIED&amp;fbja_action=fbja_viewApp&amp;company=seagatetec&amp;career_job_req_id=13457&amp;fbja_appId=979612&amp;st=65CD846686B29E230FFAF290D3F73D29058CF6EB&amp;"</t>
        </is>
      </c>
      <c r="G37" t="inlineStr">
        <is>
          <t>Company Site</t>
        </is>
      </c>
      <c r="H37" t="inlineStr">
        <is>
          <t>Rejected</t>
        </is>
      </c>
      <c r="I37" s="2" t="n">
        <v>46084.80965277777</v>
      </c>
      <c r="J37" s="2" t="n">
        <v>46084.80965277777</v>
      </c>
      <c r="K37" s="2" t="inlineStr"/>
      <c r="L37" s="2" t="n">
        <v>46084.80965277777</v>
      </c>
      <c r="M37" s="2" t="inlineStr"/>
      <c r="N37" s="3">
        <f>IF(L37="","",TODAY()-L37)</f>
        <v/>
      </c>
      <c r="O37" t="inlineStr">
        <is>
          <t>Seagate@SAPSuccessFactors"</t>
        </is>
      </c>
      <c r="P37" t="inlineStr">
        <is>
          <t>seagate.sapsuccessfactors@sap.hr.ext.seagate.com</t>
        </is>
      </c>
      <c r="Q37" s="4" t="inlineStr"/>
      <c r="R37" s="4" t="inlineStr">
        <is>
          <t>Role ambiguous</t>
        </is>
      </c>
      <c r="S37" s="5" t="inlineStr">
        <is>
          <t>imap://Inbox;uidvalidity=1313110027;uid=397693</t>
        </is>
      </c>
      <c r="T37" t="inlineStr">
        <is>
          <t>1721236609.178796.1772565954606@pc41bsub107.dc041.sf.priv.sapsf.com</t>
        </is>
      </c>
      <c r="U37" s="6" t="n">
        <v>0.75</v>
      </c>
      <c r="V37" t="inlineStr">
        <is>
          <t>rule:Rejection</t>
        </is>
      </c>
      <c r="W37" t="inlineStr">
        <is>
          <t>Rejection</t>
        </is>
      </c>
      <c r="X37" t="inlineStr">
        <is>
          <t>Application Update</t>
        </is>
      </c>
      <c r="Y37" t="n">
        <v>0</v>
      </c>
      <c r="Z37" t="n">
        <v>0</v>
      </c>
      <c r="AA37" t="n">
        <v>0</v>
      </c>
    </row>
    <row r="38">
      <c r="A38" t="inlineStr">
        <is>
          <t>756ada1a2146897e</t>
        </is>
      </c>
      <c r="B38" t="inlineStr">
        <is>
          <t>FP&amp;A Manager at Hunter Douglas</t>
        </is>
      </c>
      <c r="C38" t="inlineStr">
        <is>
          <t>Inc</t>
        </is>
      </c>
      <c r="D38" t="inlineStr"/>
      <c r="E38" t="inlineStr"/>
      <c r="F38" t="inlineStr"/>
      <c r="G38" t="inlineStr">
        <is>
          <t>LinkedIn</t>
        </is>
      </c>
      <c r="H38" t="inlineStr">
        <is>
          <t>Applied</t>
        </is>
      </c>
      <c r="I38" s="2" t="n">
        <v>46082.68458333334</v>
      </c>
      <c r="J38" s="2" t="n">
        <v>46082.68458333334</v>
      </c>
      <c r="K38" s="2" t="n">
        <v>46082.68458333334</v>
      </c>
      <c r="L38" s="2" t="n">
        <v>46082.68458333334</v>
      </c>
      <c r="M38" s="2" t="n">
        <v>46092.68458333334</v>
      </c>
      <c r="N38" s="3">
        <f>IF(L38="","",TODAY()-L38)</f>
        <v/>
      </c>
      <c r="O38" t="inlineStr">
        <is>
          <t>LinkedIn</t>
        </is>
      </c>
      <c r="P38" t="inlineStr">
        <is>
          <t>jobs-noreply@linkedin.com</t>
        </is>
      </c>
      <c r="Q38" s="4" t="inlineStr"/>
      <c r="R38" s="4" t="inlineStr"/>
      <c r="S38" s="5" t="inlineStr">
        <is>
          <t>imap://Inbox;uidvalidity=1313110027;uid=397625</t>
        </is>
      </c>
      <c r="T38" t="inlineStr">
        <is>
          <t>1349862818.14667550.1772382348164@lor1-app114876.prod.linkedin.com</t>
        </is>
      </c>
      <c r="U38" s="6" t="n">
        <v>0.7</v>
      </c>
      <c r="V38" t="inlineStr">
        <is>
          <t>rule:ApplicationConfirmation</t>
        </is>
      </c>
      <c r="W38" t="inlineStr">
        <is>
          <t>ApplicationConfirmation</t>
        </is>
      </c>
      <c r="X38" t="inlineStr">
        <is>
          <t>Application Confirmation</t>
        </is>
      </c>
      <c r="Y38" t="n">
        <v>0</v>
      </c>
      <c r="Z38" t="n">
        <v>0</v>
      </c>
      <c r="AA38" t="n">
        <v>0</v>
      </c>
    </row>
    <row r="39">
      <c r="A39" t="inlineStr">
        <is>
          <t>0d2b66c1536f3c39</t>
        </is>
      </c>
      <c r="B39" t="inlineStr">
        <is>
          <t>Data Analyst</t>
        </is>
      </c>
      <c r="C39" t="inlineStr"/>
      <c r="D39" t="inlineStr"/>
      <c r="E39" t="inlineStr"/>
      <c r="F39" t="inlineStr"/>
      <c r="G39" t="inlineStr">
        <is>
          <t>LinkedIn</t>
        </is>
      </c>
      <c r="H39" t="inlineStr">
        <is>
          <t>Applied</t>
        </is>
      </c>
      <c r="I39" s="2" t="n">
        <v>46081.73373842592</v>
      </c>
      <c r="J39" s="2" t="n">
        <v>46081.73373842592</v>
      </c>
      <c r="K39" s="2" t="n">
        <v>46081.73373842592</v>
      </c>
      <c r="L39" s="2" t="n">
        <v>46081.73373842592</v>
      </c>
      <c r="M39" s="2" t="n">
        <v>46091.73373842592</v>
      </c>
      <c r="N39" s="3">
        <f>IF(L39="","",TODAY()-L39)</f>
        <v/>
      </c>
      <c r="O39" t="inlineStr">
        <is>
          <t>LinkedIn</t>
        </is>
      </c>
      <c r="P39" t="inlineStr">
        <is>
          <t>jobs-noreply@linkedin.com</t>
        </is>
      </c>
      <c r="Q39" s="4" t="inlineStr"/>
      <c r="R39" s="4" t="inlineStr">
        <is>
          <t>Role ambiguous</t>
        </is>
      </c>
      <c r="S39" s="5" t="inlineStr">
        <is>
          <t>imap://Inbox;uidvalidity=1313110027;uid=397606</t>
        </is>
      </c>
      <c r="T39" t="inlineStr">
        <is>
          <t>972252020.21432713.1772300195149@lva1-app47440.prod.linkedin.com</t>
        </is>
      </c>
      <c r="U39" s="6" t="n">
        <v>0.7</v>
      </c>
      <c r="V39" t="inlineStr">
        <is>
          <t>rule:ApplicationConfirmation</t>
        </is>
      </c>
      <c r="W39" t="inlineStr">
        <is>
          <t>ApplicationConfirmation</t>
        </is>
      </c>
      <c r="X39" t="inlineStr">
        <is>
          <t>Application Confirmation</t>
        </is>
      </c>
      <c r="Y39" t="n">
        <v>0</v>
      </c>
      <c r="Z39" t="n">
        <v>0</v>
      </c>
      <c r="AA39" t="n">
        <v>0</v>
      </c>
    </row>
    <row r="40">
      <c r="A40" t="inlineStr">
        <is>
          <t>d4c2e1de4271abdc</t>
        </is>
      </c>
      <c r="B40" t="inlineStr">
        <is>
          <t>Justfab</t>
        </is>
      </c>
      <c r="C40" t="inlineStr"/>
      <c r="D40" t="inlineStr"/>
      <c r="E40" t="inlineStr"/>
      <c r="F40" t="inlineStr"/>
      <c r="G40" t="inlineStr">
        <is>
          <t>Company Site</t>
        </is>
      </c>
      <c r="H40" t="inlineStr">
        <is>
          <t>Applied</t>
        </is>
      </c>
      <c r="I40" s="2" t="n">
        <v>46079.97170138889</v>
      </c>
      <c r="J40" s="2" t="n">
        <v>46079.97170138889</v>
      </c>
      <c r="K40" s="2" t="n">
        <v>46079.97170138889</v>
      </c>
      <c r="L40" s="2" t="n">
        <v>46079.97170138889</v>
      </c>
      <c r="M40" s="2" t="n">
        <v>46089.97170138889</v>
      </c>
      <c r="N40" s="3">
        <f>IF(L40="","",TODAY()-L40)</f>
        <v/>
      </c>
      <c r="O40" t="inlineStr"/>
      <c r="P40" t="inlineStr">
        <is>
          <t>justfab@myworkday.com</t>
        </is>
      </c>
      <c r="Q40" s="4" t="inlineStr"/>
      <c r="R40" s="4" t="inlineStr">
        <is>
          <t>Role ambiguous</t>
        </is>
      </c>
      <c r="S40" s="5" t="inlineStr">
        <is>
          <t>imap://Inbox;uidvalidity=1313110027;uid=397560</t>
        </is>
      </c>
      <c r="T40" t="inlineStr">
        <is>
          <t>0100019c9c3fd8a0-6825826e-ac5c-47e5-bfdb-0367fbc47e8e-000000@email.amazonses.com</t>
        </is>
      </c>
      <c r="U40" s="6" t="n">
        <v>0.7</v>
      </c>
      <c r="V40" t="inlineStr">
        <is>
          <t>rule:ApplicationConfirmation</t>
        </is>
      </c>
      <c r="W40" t="inlineStr">
        <is>
          <t>ApplicationConfirmation</t>
        </is>
      </c>
      <c r="X40" t="inlineStr">
        <is>
          <t>Application Confirmation</t>
        </is>
      </c>
      <c r="Y40" t="n">
        <v>0</v>
      </c>
      <c r="Z40" t="n">
        <v>0</v>
      </c>
      <c r="AA40" t="n">
        <v>0</v>
      </c>
    </row>
  </sheetData>
  <conditionalFormatting sqref="A2:AA40">
    <cfRule type="expression" priority="1" dxfId="0">
      <formula>=$H2="Interview"</formula>
    </cfRule>
    <cfRule type="expression" priority="2" dxfId="0">
      <formula>=$H2="Offer"</formula>
    </cfRule>
    <cfRule type="expression" priority="3" dxfId="1">
      <formula>=$H2="Rejected"</formula>
    </cfRule>
    <cfRule type="expression" priority="4" dxfId="2">
      <formula>=$H2="NeedsReview"</formula>
    </cfRule>
    <cfRule type="expression" priority="5" dxfId="3">
      <formula>=$H2="Closed"</formula>
    </cfRule>
    <cfRule type="expression" priority="6" dxfId="4">
      <formula>=$H2="Applied"</formula>
    </cfRule>
    <cfRule type="expression" priority="7" dxfId="1">
      <formula>=AND($M2&lt;&gt;"",$M2&lt;TODAY())</formula>
    </cfRule>
    <cfRule type="expression" priority="8" dxfId="2">
      <formula>=AND($M2&lt;&gt;"",$M2&gt;=TODAY(),$M2&lt;=TODAY()+3)</formula>
    </cfRule>
    <cfRule type="expression" priority="9" dxfId="1">
      <formula>=AND($N2&lt;&gt;"",$N2&gt;=14)</formula>
    </cfRule>
    <cfRule type="expression" priority="10" dxfId="5">
      <formula>=AND($N2&lt;&gt;"",$N2&gt;=7,$N2&lt;14)</formula>
    </cfRule>
  </conditionalFormatting>
  <dataValidations count="1">
    <dataValidation sqref="H2:H40" showDropDown="0" showInputMessage="0" showErrorMessage="0" allowBlank="0" type="list">
      <formula1>"Opportunity,Applied,Interview,Offer,Rejected,Closed,NeedsReview"</formula1>
    </dataValidation>
  </dataValidations>
  <hyperlinks>
    <hyperlink xmlns:r="http://schemas.openxmlformats.org/officeDocument/2006/relationships" ref="S2" r:id="rId1"/>
    <hyperlink xmlns:r="http://schemas.openxmlformats.org/officeDocument/2006/relationships" ref="S3" r:id="rId2"/>
    <hyperlink xmlns:r="http://schemas.openxmlformats.org/officeDocument/2006/relationships" ref="F4" r:id="rId3"/>
    <hyperlink xmlns:r="http://schemas.openxmlformats.org/officeDocument/2006/relationships" ref="S4" r:id="rId4"/>
    <hyperlink xmlns:r="http://schemas.openxmlformats.org/officeDocument/2006/relationships" ref="S5" r:id="rId5"/>
    <hyperlink xmlns:r="http://schemas.openxmlformats.org/officeDocument/2006/relationships" ref="S6" r:id="rId6"/>
    <hyperlink xmlns:r="http://schemas.openxmlformats.org/officeDocument/2006/relationships" ref="S7" r:id="rId7"/>
    <hyperlink xmlns:r="http://schemas.openxmlformats.org/officeDocument/2006/relationships" ref="S8" r:id="rId8"/>
    <hyperlink xmlns:r="http://schemas.openxmlformats.org/officeDocument/2006/relationships" ref="F9" r:id="rId9"/>
    <hyperlink xmlns:r="http://schemas.openxmlformats.org/officeDocument/2006/relationships" ref="S9" r:id="rId10"/>
    <hyperlink xmlns:r="http://schemas.openxmlformats.org/officeDocument/2006/relationships" ref="S10" r:id="rId11"/>
    <hyperlink xmlns:r="http://schemas.openxmlformats.org/officeDocument/2006/relationships" ref="S11" r:id="rId12"/>
    <hyperlink xmlns:r="http://schemas.openxmlformats.org/officeDocument/2006/relationships" ref="S12" r:id="rId13"/>
    <hyperlink xmlns:r="http://schemas.openxmlformats.org/officeDocument/2006/relationships" ref="S13" r:id="rId14"/>
    <hyperlink xmlns:r="http://schemas.openxmlformats.org/officeDocument/2006/relationships" ref="S14" r:id="rId15"/>
    <hyperlink xmlns:r="http://schemas.openxmlformats.org/officeDocument/2006/relationships" ref="S15" r:id="rId16"/>
    <hyperlink xmlns:r="http://schemas.openxmlformats.org/officeDocument/2006/relationships" ref="S16" r:id="rId17"/>
    <hyperlink xmlns:r="http://schemas.openxmlformats.org/officeDocument/2006/relationships" ref="S17" r:id="rId18"/>
    <hyperlink xmlns:r="http://schemas.openxmlformats.org/officeDocument/2006/relationships" ref="S18" r:id="rId19"/>
    <hyperlink xmlns:r="http://schemas.openxmlformats.org/officeDocument/2006/relationships" ref="S19" r:id="rId20"/>
    <hyperlink xmlns:r="http://schemas.openxmlformats.org/officeDocument/2006/relationships" ref="S20" r:id="rId21"/>
    <hyperlink xmlns:r="http://schemas.openxmlformats.org/officeDocument/2006/relationships" ref="S21" r:id="rId22"/>
    <hyperlink xmlns:r="http://schemas.openxmlformats.org/officeDocument/2006/relationships" ref="S22" r:id="rId23"/>
    <hyperlink xmlns:r="http://schemas.openxmlformats.org/officeDocument/2006/relationships" ref="S23" r:id="rId24"/>
    <hyperlink xmlns:r="http://schemas.openxmlformats.org/officeDocument/2006/relationships" ref="S24" r:id="rId25"/>
    <hyperlink xmlns:r="http://schemas.openxmlformats.org/officeDocument/2006/relationships" ref="S25" r:id="rId26"/>
    <hyperlink xmlns:r="http://schemas.openxmlformats.org/officeDocument/2006/relationships" ref="S26" r:id="rId27"/>
    <hyperlink xmlns:r="http://schemas.openxmlformats.org/officeDocument/2006/relationships" ref="S27" r:id="rId28"/>
    <hyperlink xmlns:r="http://schemas.openxmlformats.org/officeDocument/2006/relationships" ref="S28" r:id="rId29"/>
    <hyperlink xmlns:r="http://schemas.openxmlformats.org/officeDocument/2006/relationships" ref="S29" r:id="rId30"/>
    <hyperlink xmlns:r="http://schemas.openxmlformats.org/officeDocument/2006/relationships" ref="S30" r:id="rId31"/>
    <hyperlink xmlns:r="http://schemas.openxmlformats.org/officeDocument/2006/relationships" ref="S31" r:id="rId32"/>
    <hyperlink xmlns:r="http://schemas.openxmlformats.org/officeDocument/2006/relationships" ref="F32" r:id="rId33"/>
    <hyperlink xmlns:r="http://schemas.openxmlformats.org/officeDocument/2006/relationships" ref="S32" r:id="rId34"/>
    <hyperlink xmlns:r="http://schemas.openxmlformats.org/officeDocument/2006/relationships" ref="S33" r:id="rId35"/>
    <hyperlink xmlns:r="http://schemas.openxmlformats.org/officeDocument/2006/relationships" ref="S34" r:id="rId36"/>
    <hyperlink xmlns:r="http://schemas.openxmlformats.org/officeDocument/2006/relationships" ref="S35" r:id="rId37"/>
    <hyperlink xmlns:r="http://schemas.openxmlformats.org/officeDocument/2006/relationships" ref="S36" r:id="rId38"/>
    <hyperlink xmlns:r="http://schemas.openxmlformats.org/officeDocument/2006/relationships" ref="F37" r:id="rId39"/>
    <hyperlink xmlns:r="http://schemas.openxmlformats.org/officeDocument/2006/relationships" ref="S37" r:id="rId40"/>
    <hyperlink xmlns:r="http://schemas.openxmlformats.org/officeDocument/2006/relationships" ref="S38" r:id="rId41"/>
    <hyperlink xmlns:r="http://schemas.openxmlformats.org/officeDocument/2006/relationships" ref="S39" r:id="rId42"/>
    <hyperlink xmlns:r="http://schemas.openxmlformats.org/officeDocument/2006/relationships" ref="S40" r:id="rId43"/>
  </hyperlinks>
  <pageMargins left="0.75" right="0.75" top="1" bottom="1" header="0.5" footer="0.5"/>
  <tableParts count="1">
    <tablePart xmlns:r="http://schemas.openxmlformats.org/officeDocument/2006/relationships" r:id="rId44"/>
  </tableParts>
</worksheet>
</file>

<file path=xl/worksheets/sheet2.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34" customWidth="1" min="5" max="5"/>
    <col width="20" customWidth="1" min="6" max="6"/>
    <col width="20" customWidth="1" min="7" max="7"/>
    <col width="20" customWidth="1" min="8" max="8"/>
    <col width="44" customWidth="1" min="9" max="9"/>
  </cols>
  <sheetData>
    <row r="1" ht="24" customHeight="1">
      <c r="A1" s="1" t="inlineStr">
        <is>
          <t>MessageID</t>
        </is>
      </c>
      <c r="B1" s="1" t="inlineStr">
        <is>
          <t>ThreadID</t>
        </is>
      </c>
      <c r="C1" s="1" t="inlineStr">
        <is>
          <t>ReceivedDate</t>
        </is>
      </c>
      <c r="D1" s="1" t="inlineStr">
        <is>
          <t>From</t>
        </is>
      </c>
      <c r="E1" s="1" t="inlineStr">
        <is>
          <t>Subject</t>
        </is>
      </c>
      <c r="F1" s="1" t="inlineStr">
        <is>
          <t>DetectedType</t>
        </is>
      </c>
      <c r="G1" s="1" t="inlineStr">
        <is>
          <t>LinkedRecordID</t>
        </is>
      </c>
      <c r="H1" s="1" t="inlineStr">
        <is>
          <t>ExtractorNotes</t>
        </is>
      </c>
      <c r="I1" s="1" t="inlineStr">
        <is>
          <t>RawSnippet</t>
        </is>
      </c>
    </row>
    <row r="2">
      <c r="A2" t="inlineStr">
        <is>
          <t>aa.67.35339.a8353b96@i-06e4a843b08a95775.mta2vrest.sd.prd.sparkpost</t>
        </is>
      </c>
      <c r="B2" t="inlineStr">
        <is>
          <t>your dice profile needs a few final touches|connect.dice.com</t>
        </is>
      </c>
      <c r="C2" s="7" t="n">
        <v>46094.00011574074</v>
      </c>
      <c r="D2" t="inlineStr">
        <is>
          <t>dice@connect.dice.com</t>
        </is>
      </c>
      <c r="E2" s="4" t="inlineStr">
        <is>
          <t>Your Dice profile needs a few final touches</t>
        </is>
      </c>
      <c r="F2" t="inlineStr">
        <is>
          <t>Opportunity</t>
        </is>
      </c>
      <c r="G2" t="inlineStr">
        <is>
          <t>ba8df1213a5d86e5</t>
        </is>
      </c>
      <c r="H2" t="inlineStr">
        <is>
          <t>rule:Opportunity</t>
        </is>
      </c>
      <c r="I2" s="4" t="inlineStr">
        <is>
          <t xml:space="preserve">Complete your profile to unlock personalized job matches. 
                                                    ‍͏  ͏  ‍͏  ͏  ‍͏  ͏  ‍͏  ͏ 
 ‍͏  ͏  ‍͏  ͏  ‍͏  ͏  ‍͏  ͏  ‍͏  ͏  ‍͏  ͏  ‍͏  ͏  ‍͏  ͏  ‍͏  ͏  ‍͏  ͏  ‍͏  ͏ 
 ‍͏  ͏  ‍͏  ͏  ‍͏  ͏  ‍͏  ͏  ‍͏  ͏  ‍͏  ͏  ‍͏  ͏  ‍͏  ͏  ‍͏  ͏ </t>
        </is>
      </c>
    </row>
    <row r="3">
      <c r="A3" t="inlineStr">
        <is>
          <t>20260312151844.562ab8b441c990f0@gh-mail.affirm.com</t>
        </is>
      </c>
      <c r="B3" t="inlineStr">
        <is>
          <t>thank you for your interest in analyst i, merchant risk at affirm!|affirm.com</t>
        </is>
      </c>
      <c r="C3" s="7" t="n">
        <v>46093.63800925926</v>
      </c>
      <c r="D3" t="inlineStr">
        <is>
          <t>no-reply@affirm.com</t>
        </is>
      </c>
      <c r="E3" s="4" t="inlineStr">
        <is>
          <t>Thank you for your interest in Analyst I, Merchant Risk  at Affirm!</t>
        </is>
      </c>
      <c r="F3" t="inlineStr">
        <is>
          <t>Rejection</t>
        </is>
      </c>
      <c r="G3" t="inlineStr">
        <is>
          <t>abf94118f20dd4a9</t>
        </is>
      </c>
      <c r="H3" t="inlineStr">
        <is>
          <t>rule:Rejection</t>
        </is>
      </c>
      <c r="I3" s="4" t="inlineStr">
        <is>
          <t>Hi Cole,
Thank you for your interest in the Analyst I, Full Stack role at Affirm! Unfortunately we just hired someone for this role, so the position is no longer available.
We recognize there are many options out there, and we want you to know we genuinely value your interest i</t>
        </is>
      </c>
    </row>
    <row r="4">
      <c r="A4" t="inlineStr">
        <is>
          <t>4crfmmqak5-1@n0iprfap08.us.saas</t>
        </is>
      </c>
      <c r="B4" t="inlineStr">
        <is>
          <t>the data analyst position has been filled|cardinalgroup.com</t>
        </is>
      </c>
      <c r="C4" s="7" t="n">
        <v>46092.8707175926</v>
      </c>
      <c r="D4" t="inlineStr">
        <is>
          <t>recruiting@cardinalgroup.com</t>
        </is>
      </c>
      <c r="E4" s="4" t="inlineStr">
        <is>
          <t>The Data Analyst Position has been filled</t>
        </is>
      </c>
      <c r="F4" t="inlineStr">
        <is>
          <t>Opportunity</t>
        </is>
      </c>
      <c r="G4" t="inlineStr">
        <is>
          <t>30015f09e64a839c</t>
        </is>
      </c>
      <c r="H4" t="inlineStr">
        <is>
          <t>rule:Opportunity</t>
        </is>
      </c>
      <c r="I4" s="4" t="inlineStr">
        <is>
          <t>&lt;div style="text-align: center;"&gt;&lt;span&gt;&lt;img src="https://cardinalgroup.com/wp-content/uploads/OfferLetterLogos-1.png" width="341" height="94" alt="" /&gt;&lt;br /&gt;&lt;/span&gt;&lt;/div&gt;
&lt;div&gt;&lt;span&gt;&amp;nbsp;&lt;/span&gt;&lt;/div&gt;
&lt;div&gt;&lt;span&gt;Hello Cole,&lt;/span&gt;&lt;/div&gt;
&lt;div&gt;&lt;span&gt;&amp;nbsp;&lt;/span&gt;
&lt;div&gt;&lt;span&gt;One of</t>
        </is>
      </c>
    </row>
    <row r="5">
      <c r="A5" t="inlineStr">
        <is>
          <t>20260311141047.a2c7585b25c51f7b@careers.zillowgroup.com</t>
        </is>
      </c>
      <c r="B5" t="inlineStr">
        <is>
          <t>update from zillow group|careers.zillowgroup.com</t>
        </is>
      </c>
      <c r="C5" s="7" t="n">
        <v>46092.59082175926</v>
      </c>
      <c r="D5" t="inlineStr">
        <is>
          <t>no-reply@careers.zillowgroup.com</t>
        </is>
      </c>
      <c r="E5" s="4" t="inlineStr">
        <is>
          <t>Update from Zillow Group</t>
        </is>
      </c>
      <c r="F5" t="inlineStr">
        <is>
          <t>Rejection</t>
        </is>
      </c>
      <c r="G5" t="inlineStr">
        <is>
          <t>533b22341e469bbb</t>
        </is>
      </c>
      <c r="H5" t="inlineStr">
        <is>
          <t>rule:Rejection</t>
        </is>
      </c>
      <c r="I5" s="4" t="inlineStr">
        <is>
          <t>&lt;div&gt;Hi Cole,&lt;/div&gt;&lt;div&gt;&lt;br&gt;&lt;/div&gt;&lt;div&gt;Thank you so much for taking the time to apply for the Data Analyst, Employee Service Center role. We know a lot of thought and consideration went into your application, and we genuinely appreciate your interest in joining the team here at Z</t>
        </is>
      </c>
    </row>
    <row r="6">
      <c r="A6" t="inlineStr">
        <is>
          <t>nocih0lhqxkjh2v72dbh5a@geopod-ismtpd-canary-0</t>
        </is>
      </c>
      <c r="B6" t="inlineStr">
        <is>
          <t>thanks for applying with inceed!|inceed.com</t>
        </is>
      </c>
      <c r="C6" s="7" t="n">
        <v>46091.92974537037</v>
      </c>
      <c r="D6" t="inlineStr">
        <is>
          <t>noreply@inceed.com</t>
        </is>
      </c>
      <c r="E6" s="4" t="inlineStr">
        <is>
          <t>Thanks for Applying with Inceed!</t>
        </is>
      </c>
      <c r="F6" t="inlineStr">
        <is>
          <t>Rejection</t>
        </is>
      </c>
      <c r="G6" t="inlineStr">
        <is>
          <t>be8e2a68f6ce9108</t>
        </is>
      </c>
      <c r="H6" t="inlineStr">
        <is>
          <t>rule:Rejection</t>
        </is>
      </c>
      <c r="I6" s="4" t="inlineStr">
        <is>
          <t>Thanks for Applying to the PowerBI Analyst opportunity with Inceed! 
Hello! This is an automated message letting you know that we have received your application. 
Thank you so much for your interest. Rest assured, we have received your resume and have pulled it into our system. W</t>
        </is>
      </c>
    </row>
    <row r="7">
      <c r="A7" t="inlineStr">
        <is>
          <t>1774856065.6101431.1773154955183@lor1-app170537.prod.linkedin.com</t>
        </is>
      </c>
      <c r="B7" t="inlineStr">
        <is>
          <t>actuarial data scientist - hybrid|linkedin.com</t>
        </is>
      </c>
      <c r="C7" s="7" t="n">
        <v>46091.62679398148</v>
      </c>
      <c r="D7" t="inlineStr">
        <is>
          <t>inmail-hit-reply@linkedin.com</t>
        </is>
      </c>
      <c r="E7" s="4" t="inlineStr">
        <is>
          <t>Actuarial Data Scientist - Hybrid</t>
        </is>
      </c>
      <c r="F7" t="inlineStr">
        <is>
          <t>Opportunity</t>
        </is>
      </c>
      <c r="G7" t="inlineStr">
        <is>
          <t>f8682d6a8e65d0b4</t>
        </is>
      </c>
      <c r="H7" t="inlineStr">
        <is>
          <t>rule:Opportunity</t>
        </is>
      </c>
      <c r="I7" s="4" t="inlineStr">
        <is>
          <t>Actuarial Data Scientist - Hybrid 
Actuarial Data Scientist - Hybrid 
      Stephen See
        Reply
        https://www.linkedin.com/messaging/thread/2-MTRhMzU0ZjEtZjk2MC00Yjc0LWJiM2QtZDY5OTljNGQxOWM4XzEwMA==/
Cole, 
I hope you are doing well. I'm reaching out because I thin</t>
        </is>
      </c>
    </row>
    <row r="8">
      <c r="A8" t="inlineStr">
        <is>
          <t>1594953470.19690840.1773083936324@lor1-app136109.prod.linkedin.com</t>
        </is>
      </c>
      <c r="B8" t="inlineStr">
        <is>
          <t>your application to data analyst (sales) at airsupply tools|linkedin.com</t>
        </is>
      </c>
      <c r="C8" s="7" t="n">
        <v>46090.80481481482</v>
      </c>
      <c r="D8" t="inlineStr">
        <is>
          <t>jobs-noreply@linkedin.com</t>
        </is>
      </c>
      <c r="E8" s="4" t="inlineStr">
        <is>
          <t>Your application to Data Analyst (Sales) at Airsupply Tools</t>
        </is>
      </c>
      <c r="F8" t="inlineStr">
        <is>
          <t>ApplicationConfirmation</t>
        </is>
      </c>
      <c r="G8" t="inlineStr">
        <is>
          <t>7ee6d844882a8339</t>
        </is>
      </c>
      <c r="H8" t="inlineStr">
        <is>
          <t>rule:ApplicationConfirmation</t>
        </is>
      </c>
      <c r="I8" s="4" t="inlineStr">
        <is>
          <t>Your update from Airsupply Tools
----------------------------------------
This email was intended for Cole Spyksma (B.S. Statistics and Data Science)
Learn why we included this: https://www.linkedin.com/help/linkedin/answer/4788?lang=en&amp;lipi=urn%3Ali%3Apage%3Aemail_email_jobs_a</t>
        </is>
      </c>
    </row>
    <row r="9">
      <c r="A9" t="inlineStr">
        <is>
          <t>df.6b.24779.37ffda96@i-0d8976ea228f637ca.mta2vrest.sd.prd.sparkpost</t>
        </is>
      </c>
      <c r="B9" t="inlineStr">
        <is>
          <t>improve your odds with these dice features|connect.dice.com</t>
        </is>
      </c>
      <c r="C9" s="7" t="n">
        <v>46089.95836805556</v>
      </c>
      <c r="D9" t="inlineStr">
        <is>
          <t>dice@connect.dice.com</t>
        </is>
      </c>
      <c r="E9" s="4" t="inlineStr">
        <is>
          <t>Improve your odds with these Dice features</t>
        </is>
      </c>
      <c r="F9" t="inlineStr">
        <is>
          <t>Opportunity</t>
        </is>
      </c>
      <c r="G9" t="inlineStr">
        <is>
          <t>e507d829e2254502</t>
        </is>
      </c>
      <c r="H9" t="inlineStr">
        <is>
          <t>rule:Opportunity</t>
        </is>
      </c>
      <c r="I9" s="4" t="inlineStr">
        <is>
          <t xml:space="preserve">Smarter tools, tailored insights, and secure connections to level up your job 
search.                                                     ‍͏  ͏  ‍͏  ͏  ‍͏  ͏ 
 ‍͏  ͏  ‍͏  ͏  ‍͏  ͏  ‍͏  ͏  ‍͏  ͏  ‍͏  ͏  ‍͏  ͏  ‍͏  ͏  ‍͏  ͏  ‍͏  ͏  ‍͏  ͏ 
 ‍͏  ͏  ‍͏  ͏  ‍͏  ͏  ‍͏  ͏  ‍͏  ͏  ‍͏  ͏ </t>
        </is>
      </c>
    </row>
    <row r="10">
      <c r="A10" t="inlineStr">
        <is>
          <t>1702242487.16810819.1772921068680@lor1-app78406.prod.linkedin.com</t>
        </is>
      </c>
      <c r="B10" t="inlineStr">
        <is>
          <t>your application to power bi developer at kelly science, engineering, technology &amp; telecom|linkedin.com</t>
        </is>
      </c>
      <c r="C10" s="7" t="n">
        <v>46088.91976851852</v>
      </c>
      <c r="D10" t="inlineStr">
        <is>
          <t>jobs-noreply@linkedin.com</t>
        </is>
      </c>
      <c r="E10" s="4" t="inlineStr">
        <is>
          <t>Your application to Power BI Developer at Kelly Science,
 Engineering, Technology &amp; Telecom</t>
        </is>
      </c>
      <c r="F10" t="inlineStr">
        <is>
          <t>ApplicationConfirmation</t>
        </is>
      </c>
      <c r="G10" t="inlineStr">
        <is>
          <t>28bcfd1905c9c281</t>
        </is>
      </c>
      <c r="H10" t="inlineStr">
        <is>
          <t>rule:ApplicationConfirmation</t>
        </is>
      </c>
      <c r="I10" s="4" t="inlineStr">
        <is>
          <t>Your update from Kelly Science, Engineering, Technology &amp; Telecom
----------------------------------------
This email was intended for Cole Spyksma (B.S. Statistics and Data Science)
Learn why we included this: https://www.linkedin.com/help/linkedin/answer/4788?lang=en&amp;lipi=urn</t>
        </is>
      </c>
    </row>
    <row r="11">
      <c r="A11" t="inlineStr">
        <is>
          <t>20260307032018.e43d666dee6d5c10@hire.lever.co</t>
        </is>
      </c>
      <c r="B11" t="inlineStr">
        <is>
          <t>cole, thank you for your interest in wpromote!|hire.lever.co</t>
        </is>
      </c>
      <c r="C11" s="7" t="n">
        <v>46088.13909722222</v>
      </c>
      <c r="D11" t="inlineStr">
        <is>
          <t>no-reply@hire.lever.co</t>
        </is>
      </c>
      <c r="E11" s="4" t="inlineStr">
        <is>
          <t>Cole, Thank you for your interest in Wpromote!</t>
        </is>
      </c>
      <c r="F11" t="inlineStr">
        <is>
          <t>Rejection</t>
        </is>
      </c>
      <c r="G11" t="inlineStr">
        <is>
          <t>2035a1d0b64f27d7</t>
        </is>
      </c>
      <c r="H11" t="inlineStr">
        <is>
          <t>rule:Rejection</t>
        </is>
      </c>
      <c r="I11" s="4" t="inlineStr">
        <is>
          <t>Hi Cole,
We regret to inform you that your current qualifications do not match those needed for our current openings. We will keep your resume on file and if a position opens that closely matches your skillset, we will contact you at that time.
Thanks again for your interest in</t>
        </is>
      </c>
    </row>
    <row r="12">
      <c r="A12" t="inlineStr">
        <is>
          <t>20260307032018.f42f70caa418affb@hire.lever.co</t>
        </is>
      </c>
      <c r="B12" t="inlineStr">
        <is>
          <t>cole, thank you for your interest in wpromote!|hire.lever.co</t>
        </is>
      </c>
      <c r="C12" s="7" t="n">
        <v>46088.13909722222</v>
      </c>
      <c r="D12" t="inlineStr">
        <is>
          <t>no-reply@hire.lever.co</t>
        </is>
      </c>
      <c r="E12" s="4" t="inlineStr">
        <is>
          <t>Cole, Thank you for your interest in Wpromote!</t>
        </is>
      </c>
      <c r="F12" t="inlineStr">
        <is>
          <t>Rejection</t>
        </is>
      </c>
      <c r="G12" t="inlineStr">
        <is>
          <t>2035a1d0b64f27d7</t>
        </is>
      </c>
      <c r="H12" t="inlineStr">
        <is>
          <t>rule:Rejection</t>
        </is>
      </c>
      <c r="I12" s="4" t="inlineStr">
        <is>
          <t>Hi Cole,
We regret to inform you that your current qualifications do not match those needed for our current openings. We will keep your resume on file and if a position opens that closely matches your skillset, we will contact you at that time.
Thanks again for your interest in</t>
        </is>
      </c>
    </row>
    <row r="13">
      <c r="A13" t="inlineStr">
        <is>
          <t>1988075359.5433915.1772840390902@lor1-app105352.prod.linkedin.com</t>
        </is>
      </c>
      <c r="B13" t="inlineStr">
        <is>
          <t>your application to business intelligence analyst (power bi/ power app) at kelly science, engineering, technology &amp; telecom|linkedin.com</t>
        </is>
      </c>
      <c r="C13" s="7" t="n">
        <v>46087.98599537037</v>
      </c>
      <c r="D13" t="inlineStr">
        <is>
          <t>jobs-noreply@linkedin.com</t>
        </is>
      </c>
      <c r="E13" s="4" t="inlineStr">
        <is>
          <t>Your application to Business Intelligence Analyst (Power BI/ Power
 App) at Kelly Science, Engineering, Technology &amp; Telecom</t>
        </is>
      </c>
      <c r="F13" t="inlineStr">
        <is>
          <t>ApplicationConfirmation</t>
        </is>
      </c>
      <c r="G13" t="inlineStr">
        <is>
          <t>453c7404dd090a21</t>
        </is>
      </c>
      <c r="H13" t="inlineStr">
        <is>
          <t>rule:ApplicationConfirmation</t>
        </is>
      </c>
      <c r="I13" s="4" t="inlineStr">
        <is>
          <t>Your update from Kelly Science, Engineering, Technology &amp; Telecom
----------------------------------------
This email was intended for Cole Spyksma (B.S. Statistics and Data Science)
Learn why we included this: https://www.linkedin.com/help/linkedin/answer/4788?lang=en&amp;lipi=urn</t>
        </is>
      </c>
    </row>
    <row r="14">
      <c r="A14" t="inlineStr">
        <is>
          <t>177283311104.2218.14208277100546618197@mails.hire.trakstar.com</t>
        </is>
      </c>
      <c r="B14" t="inlineStr">
        <is>
          <t>pvrea phone call - ai &amp; bi specialist confirmation|pvrea.hire.trakstar.com</t>
        </is>
      </c>
      <c r="C14" s="7" t="n">
        <v>46087.90174768519</v>
      </c>
      <c r="D14" t="inlineStr">
        <is>
          <t>agavito@pvrea.hire.trakstar.com</t>
        </is>
      </c>
      <c r="E14" s="4" t="inlineStr">
        <is>
          <t>PVREA Phone Call - AI &amp; BI Specialist Confirmation</t>
        </is>
      </c>
      <c r="F14" t="inlineStr">
        <is>
          <t>InterviewRequest</t>
        </is>
      </c>
      <c r="G14" t="inlineStr">
        <is>
          <t>a0af48dd6e2ae723</t>
        </is>
      </c>
      <c r="H14" t="inlineStr">
        <is>
          <t>rule:InterviewRequest</t>
        </is>
      </c>
      <c r="I14" s="4" t="inlineStr">
        <is>
          <t>Hello Cole,
Thank you for confirming your availability! This email serves as a
confirmation of your phone call scheduled **10:00 am (MST) on 11 Mar**. We
will be calling you at the number listed on your resume, please plan for about
30 minutes for the call.
We look forward to s</t>
        </is>
      </c>
    </row>
    <row r="15">
      <c r="A15" t="inlineStr">
        <is>
          <t>1jj2grfsgm2fh800@indeed.com</t>
        </is>
      </c>
      <c r="B15" t="inlineStr">
        <is>
          <t>an update on your application from janson|indeed.com</t>
        </is>
      </c>
      <c r="C15" s="7" t="n">
        <v>46087.89511574074</v>
      </c>
      <c r="D15" t="inlineStr">
        <is>
          <t>noreply@indeed.com</t>
        </is>
      </c>
      <c r="E15" s="4" t="inlineStr">
        <is>
          <t>An update on your application from JANSON</t>
        </is>
      </c>
      <c r="F15" t="inlineStr">
        <is>
          <t>Rejection</t>
        </is>
      </c>
      <c r="G15" t="inlineStr">
        <is>
          <t>379070ff07e8e0a4</t>
        </is>
      </c>
      <c r="H15" t="inlineStr">
        <is>
          <t>rule:Rejection</t>
        </is>
      </c>
      <c r="I15" s="4" t="inlineStr">
        <is>
          <t>&lt;!DOCTYPE HTML PUBLIC "-//W3C//DTD HTML 4.01 Transitional//EN" "http://www.w3.org/TR/html4/loose.dtd"&gt;&lt;html xmlns="http://www.w3.org/1999/xhtml" xmlns:v="urn:schemas-microsoft-com:vml" xmlns:o="urn:schemas-microsoft-com:office:office" lang="en"&gt;&lt;head&gt;&lt;meta http-equiv="Content-Typ</t>
        </is>
      </c>
    </row>
    <row r="16">
      <c r="A16" t="inlineStr">
        <is>
          <t>aa.89.00657.b423ba96@i-060a5b4bf74525564.mta2vrest.sd.prd.sparkpost</t>
        </is>
      </c>
      <c r="B16" t="inlineStr">
        <is>
          <t>stop hiding—your dream job is looking for you 🔍|connect.dice.com</t>
        </is>
      </c>
      <c r="C16" s="7" t="n">
        <v>46087.83346064815</v>
      </c>
      <c r="D16" t="inlineStr">
        <is>
          <t>dice@connect.dice.com</t>
        </is>
      </c>
      <c r="E16" s="4" t="inlineStr">
        <is>
          <t>Stop Hiding—Your Dream Job Is Looking for You 🔍</t>
        </is>
      </c>
      <c r="F16" t="inlineStr">
        <is>
          <t>Opportunity</t>
        </is>
      </c>
      <c r="G16" t="inlineStr">
        <is>
          <t>4978f530665aa92c</t>
        </is>
      </c>
      <c r="H16" t="inlineStr">
        <is>
          <t>rule:Opportunity</t>
        </is>
      </c>
      <c r="I16" s="4" t="inlineStr">
        <is>
          <t xml:space="preserve">Complete your profile and let the best opportunities come to you 
                                                    ‍͏  ͏  ‍͏  ͏  ‍͏  ͏  ‍͏  ͏ 
 ‍͏  ͏  ‍͏  ͏  ‍͏  ͏  ‍͏  ͏  ‍͏  ͏  ‍͏  ͏  ‍͏  ͏  ‍͏  ͏  ‍͏  ͏  ‍͏  ͏  ‍͏  ͏ 
 ‍͏  ͏  ‍͏  ͏  ‍͏  ͏  ‍͏  ͏  ‍͏  ͏  ‍͏  ͏  ‍͏  ͏  ‍͏  ͏ </t>
        </is>
      </c>
    </row>
    <row r="17">
      <c r="A17" t="inlineStr">
        <is>
          <t>20260305221507.dac1f5c2a37e32c1@gh-mail.careaccess.com</t>
        </is>
      </c>
      <c r="B17" t="inlineStr">
        <is>
          <t>important information about your application to care access|careaccess.com</t>
        </is>
      </c>
      <c r="C17" s="7" t="n">
        <v>46086.92716435185</v>
      </c>
      <c r="D17" t="inlineStr">
        <is>
          <t>no-reply@careaccess.com</t>
        </is>
      </c>
      <c r="E17" s="4" t="inlineStr">
        <is>
          <t>Important information about your application to Care Access</t>
        </is>
      </c>
      <c r="F17" t="inlineStr">
        <is>
          <t>Rejection</t>
        </is>
      </c>
      <c r="G17" t="inlineStr">
        <is>
          <t>d953da94d71bee4a</t>
        </is>
      </c>
      <c r="H17" t="inlineStr">
        <is>
          <t>rule:Rejection</t>
        </is>
      </c>
      <c r="I17" s="4" t="inlineStr">
        <is>
          <t>Cole,
Unfortunately, we have decided not to proceed with your candidacy for the Enterprise Performance Analytics Engineer   at Care Access.
We received many qualified applicants and have decided to move ahead with another candidate who we feel is a better match for this particu</t>
        </is>
      </c>
    </row>
    <row r="18">
      <c r="A18" t="inlineStr">
        <is>
          <t>0101019cbf954a81-a3accf06-4979-4980-9a85-e3a40df06448-000000@us-west-2.amazonses.com</t>
        </is>
      </c>
      <c r="B18" t="inlineStr">
        <is>
          <t>thank you for your application!|myworkday.com</t>
        </is>
      </c>
      <c r="C18" s="7" t="n">
        <v>46086.83284722222</v>
      </c>
      <c r="D18" t="inlineStr">
        <is>
          <t>zillow@myworkday.com</t>
        </is>
      </c>
      <c r="E18" s="4" t="inlineStr">
        <is>
          <t>Thank you for your application!</t>
        </is>
      </c>
      <c r="F18" t="inlineStr">
        <is>
          <t>ApplicationConfirmation</t>
        </is>
      </c>
      <c r="G18" t="inlineStr">
        <is>
          <t>77d4d4675ca8019d</t>
        </is>
      </c>
      <c r="H18" t="inlineStr">
        <is>
          <t>rule:ApplicationConfirmation</t>
        </is>
      </c>
      <c r="I18" s="4" t="inlineStr">
        <is>
          <t>Thank you for your application!</t>
        </is>
      </c>
    </row>
    <row r="19">
      <c r="A19" t="inlineStr">
        <is>
          <t>1978686464.4836274.1772730288967@lor1-app135759.prod.linkedin.com</t>
        </is>
      </c>
      <c r="B19" t="inlineStr">
        <is>
          <t>hiring - hybrid in des moines - 1 year contract - data scientist job opportunity!|linkedin.com</t>
        </is>
      </c>
      <c r="C19" s="7" t="n">
        <v>46086.71166666667</v>
      </c>
      <c r="D19" t="inlineStr">
        <is>
          <t>inmail-hit-reply@linkedin.com</t>
        </is>
      </c>
      <c r="E19" s="4" t="inlineStr">
        <is>
          <t>HIRING - Hybrid in Des Moines - 1 Year Contract - Data Scientist
 Job Opportunity!</t>
        </is>
      </c>
      <c r="F19" t="inlineStr">
        <is>
          <t>Opportunity</t>
        </is>
      </c>
      <c r="G19" t="inlineStr">
        <is>
          <t>d7e7eee7c38694ac</t>
        </is>
      </c>
      <c r="H19" t="inlineStr">
        <is>
          <t>rule:Opportunity</t>
        </is>
      </c>
      <c r="I19" s="4" t="inlineStr">
        <is>
          <t>HIRING - Hybrid in Des Moines - 1 Year Contract - Data Scientist Job Opportunity!
HIRING - Hybrid in Des Moines - 1 Year Contract - Data Scientist Job Opportunity!
      Gable Verschoor
        Reply
        https://www.linkedin.com/messaging/thread/2-ZTQxMjEzMjctYzFkOS00YTI2LTg</t>
        </is>
      </c>
    </row>
    <row r="20">
      <c r="A20" t="inlineStr">
        <is>
          <t>20260305153317.598ec65f5d34f833@recruiting.rivoholdings.com</t>
        </is>
      </c>
      <c r="B20" t="inlineStr">
        <is>
          <t>thank you for applying to ​rivo holdings, llc​|recruiting.rivoholdings.com</t>
        </is>
      </c>
      <c r="C20" s="7" t="n">
        <v>46086.64811342592</v>
      </c>
      <c r="D20" t="inlineStr">
        <is>
          <t>notification@recruiting.rivoholdings.com</t>
        </is>
      </c>
      <c r="E20" s="4" t="inlineStr">
        <is>
          <t>Thank you for applying to ​RIVO Holdings, LLC​</t>
        </is>
      </c>
      <c r="F20" t="inlineStr">
        <is>
          <t>Opportunity</t>
        </is>
      </c>
      <c r="G20" t="inlineStr">
        <is>
          <t>cf56a7f6cd54ea1f</t>
        </is>
      </c>
      <c r="H20" t="inlineStr">
        <is>
          <t>rule:Opportunity</t>
        </is>
      </c>
      <c r="I20" s="4" t="inlineStr">
        <is>
          <t>Hello&amp;nbsp;Cole,&amp;nbsp;
Thank you for submitting your application for the position of Junior Data Scientist. We are glad that you are interested in a career at&amp;nbsp;RIVO Holdings, LLC&amp;nbsp;and we&amp;#39;re here to help you find your perfect opportunity.
Your application is queued fo</t>
        </is>
      </c>
    </row>
    <row r="21">
      <c r="A21" t="inlineStr">
        <is>
          <t>rkmhztmecz50adabfc_h9tkni9nxcufb@cbreglobal.avature.net</t>
        </is>
      </c>
      <c r="B21" t="inlineStr">
        <is>
          <t>thank you for applying at cbre - 263358 transaction analyst|cbre.com</t>
        </is>
      </c>
      <c r="C21" s="7" t="n">
        <v>46085.94326388889</v>
      </c>
      <c r="D21" t="inlineStr">
        <is>
          <t>noreply@cbre.com</t>
        </is>
      </c>
      <c r="E21" s="4" t="inlineStr">
        <is>
          <t>Thank you for applying at CBRE  - 263358 Transaction Analyst</t>
        </is>
      </c>
      <c r="F21" t="inlineStr">
        <is>
          <t>InterviewRequest</t>
        </is>
      </c>
      <c r="G21" t="inlineStr">
        <is>
          <t>344aa1bed98fc315</t>
        </is>
      </c>
      <c r="H21" t="inlineStr">
        <is>
          <t>rule:InterviewRequest</t>
        </is>
      </c>
      <c r="I21" s="4" t="inlineStr">
        <is>
          <t xml:space="preserve">Hello Cole,
Thank you for applying to the Transaction Analyst role. We have successfully received your application and it is currently under review.
 Over the coming weeks, we will be assessing applicants for this role. If your qualifications prove to be a match, we will reach </t>
        </is>
      </c>
    </row>
    <row r="22">
      <c r="A22" t="inlineStr">
        <is>
          <t>c4xrc7lzahaxk-cyvn1rnsd_jhbtldhg@cbreglobal.avature.net</t>
        </is>
      </c>
      <c r="B22" t="inlineStr">
        <is>
          <t>thank you for applying at cbre - 260980 sales analyst|cbre.com</t>
        </is>
      </c>
      <c r="C22" s="7" t="n">
        <v>46085.94099537037</v>
      </c>
      <c r="D22" t="inlineStr">
        <is>
          <t>noreply@cbre.com</t>
        </is>
      </c>
      <c r="E22" s="4" t="inlineStr">
        <is>
          <t>Thank you for applying at CBRE  - 260980 Sales Analyst</t>
        </is>
      </c>
      <c r="F22" t="inlineStr">
        <is>
          <t>InterviewRequest</t>
        </is>
      </c>
      <c r="G22" t="inlineStr">
        <is>
          <t>37e17f301ff53b25</t>
        </is>
      </c>
      <c r="H22" t="inlineStr">
        <is>
          <t>rule:InterviewRequest</t>
        </is>
      </c>
      <c r="I22" s="4" t="inlineStr">
        <is>
          <t>Hello Cole,
Thank you for applying to the Sales Analyst role. We have successfully received your application and it is currently under review.
 Over the coming weeks, we will be assessing applicants for this role. If your qualifications prove to be a match, we will reach out to</t>
        </is>
      </c>
    </row>
    <row r="23">
      <c r="A23" t="inlineStr">
        <is>
          <t>wweeyqg-qc5jagfq3kcd0qun1-e5xkmg@cbreglobal.avature.net</t>
        </is>
      </c>
      <c r="B23" t="inlineStr">
        <is>
          <t>thank you for applying at cbre - 262418 lease admin analyst|cbre.com</t>
        </is>
      </c>
      <c r="C23" s="7" t="n">
        <v>46085.93856481482</v>
      </c>
      <c r="D23" t="inlineStr">
        <is>
          <t>noreply@cbre.com</t>
        </is>
      </c>
      <c r="E23" s="4" t="inlineStr">
        <is>
          <t>Thank you for applying at CBRE  - 262418 Lease Admin Analyst</t>
        </is>
      </c>
      <c r="F23" t="inlineStr">
        <is>
          <t>InterviewRequest</t>
        </is>
      </c>
      <c r="G23" t="inlineStr">
        <is>
          <t>c90e461667a6d83d</t>
        </is>
      </c>
      <c r="H23" t="inlineStr">
        <is>
          <t>rule:InterviewRequest</t>
        </is>
      </c>
      <c r="I23" s="4" t="inlineStr">
        <is>
          <t xml:space="preserve">Hello Cole,
Thank you for applying to the Lease Admin Analyst role. We have successfully received your application and it is currently under review.
 Over the coming weeks, we will be assessing applicants for this role. If your qualifications prove to be a match, we will reach </t>
        </is>
      </c>
    </row>
    <row r="24">
      <c r="A24" t="inlineStr">
        <is>
          <t>20260304223126.5c7888ce16cc627e@us.greenhouse-mail.io</t>
        </is>
      </c>
      <c r="B24" t="inlineStr">
        <is>
          <t>prizepicks application follow-up|us.greenhouse-mail.io</t>
        </is>
      </c>
      <c r="C24" s="7" t="n">
        <v>46085.93849537037</v>
      </c>
      <c r="D24" t="inlineStr">
        <is>
          <t>no-reply@us.greenhouse-mail.io</t>
        </is>
      </c>
      <c r="E24" s="4" t="inlineStr">
        <is>
          <t>PrizePicks Application Follow-Up</t>
        </is>
      </c>
      <c r="F24" t="inlineStr">
        <is>
          <t>ApplicationConfirmation</t>
        </is>
      </c>
      <c r="G24" t="inlineStr">
        <is>
          <t>fd859193164f3ec2</t>
        </is>
      </c>
      <c r="H24" t="inlineStr">
        <is>
          <t>rule:ApplicationConfirmation</t>
        </is>
      </c>
      <c r="I24" s="4" t="inlineStr">
        <is>
          <t xml:space="preserve">Hi COLE,
Thank you for applying to the Game Operations Analyst - Trading position at PrizePicks. We appreciate the time and effort you put into your application.
After careful consideration, we have chosen to move forward with another candidate for this position.
We will keep </t>
        </is>
      </c>
    </row>
    <row r="25">
      <c r="A25" t="inlineStr">
        <is>
          <t>g2ojjitgi63zanpdg6vcaiseeqtipjrx@cbreglobal.avature.net</t>
        </is>
      </c>
      <c r="B25" t="inlineStr">
        <is>
          <t>thank you for applying at cbre - 263903 finance analyst|cbre.com</t>
        </is>
      </c>
      <c r="C25" s="7" t="n">
        <v>46085.93695601852</v>
      </c>
      <c r="D25" t="inlineStr">
        <is>
          <t>noreply@cbre.com</t>
        </is>
      </c>
      <c r="E25" s="4" t="inlineStr">
        <is>
          <t>Thank you for applying at CBRE  - 263903 Finance Analyst</t>
        </is>
      </c>
      <c r="F25" t="inlineStr">
        <is>
          <t>InterviewRequest</t>
        </is>
      </c>
      <c r="G25" t="inlineStr">
        <is>
          <t>24452bca6641480f</t>
        </is>
      </c>
      <c r="H25" t="inlineStr">
        <is>
          <t>rule:InterviewRequest</t>
        </is>
      </c>
      <c r="I25" s="4" t="inlineStr">
        <is>
          <t xml:space="preserve">Hello Cole,
Thank you for applying to the Finance Analyst role. We have successfully received your application and it is currently under review.
 Over the coming weeks, we will be assessing applicants for this role. If your qualifications prove to be a match, we will reach out </t>
        </is>
      </c>
    </row>
    <row r="26">
      <c r="A26" t="inlineStr">
        <is>
          <t>20260304220110.04d2a1f762acbe7d@gh-mail.blytheco.com</t>
        </is>
      </c>
      <c r="B26" t="inlineStr">
        <is>
          <t>thank you for applying to blytheco for the associate strategy analyst position|blytheco.com</t>
        </is>
      </c>
      <c r="C26" s="7" t="n">
        <v>46085.91747685185</v>
      </c>
      <c r="D26" t="inlineStr">
        <is>
          <t>recruiting@blytheco.com</t>
        </is>
      </c>
      <c r="E26" s="4" t="inlineStr">
        <is>
          <t>Thank You for Applying to Blytheco for the Associate Strategy Analyst Position</t>
        </is>
      </c>
      <c r="F26" t="inlineStr">
        <is>
          <t>Opportunity</t>
        </is>
      </c>
      <c r="G26" t="inlineStr">
        <is>
          <t>8afd2fcb5af856be</t>
        </is>
      </c>
      <c r="H26" t="inlineStr">
        <is>
          <t>rule:Opportunity</t>
        </is>
      </c>
      <c r="I26" s="4" t="inlineStr">
        <is>
          <t>Hi Cole,
Thanks for visiting the Blytheco Careers Page and expressing interest in our current employment opportunities. We want to let you know that we have received your application for the Associate Strategy Analyst position and it has been forwarded to our Recruiting Team for</t>
        </is>
      </c>
    </row>
    <row r="27">
      <c r="A27" t="inlineStr">
        <is>
          <t>20260304193003.b911fb5ac92caf16@us.greenhouse-mail.io</t>
        </is>
      </c>
      <c r="B27" t="inlineStr">
        <is>
          <t>we’ve received your application for analyst i, merchant risk at affirm|us.greenhouse-mail.io</t>
        </is>
      </c>
      <c r="C27" s="7" t="n">
        <v>46085.81253472222</v>
      </c>
      <c r="D27" t="inlineStr">
        <is>
          <t>no-reply@us.greenhouse-mail.io</t>
        </is>
      </c>
      <c r="E27" s="4" t="inlineStr">
        <is>
          <t>We’ve received your application for Analyst I, Merchant Risk  at Affirm</t>
        </is>
      </c>
      <c r="F27" t="inlineStr">
        <is>
          <t>ApplicationConfirmation</t>
        </is>
      </c>
      <c r="G27" t="inlineStr">
        <is>
          <t>4970d2f62495dad8</t>
        </is>
      </c>
      <c r="H27" t="inlineStr">
        <is>
          <t>rule:ApplicationConfirmation</t>
        </is>
      </c>
      <c r="I27" s="4" t="inlineStr">
        <is>
          <t>Hi Cole,
Thank you for applying for the Analyst I, Merchant Risk  position at Affirm! We’re excited to learn more about you and appreciate your interest in joining our team.
Given the high number of applications we receive, it may take us some time to review each candidate care</t>
        </is>
      </c>
    </row>
    <row r="28">
      <c r="A28" t="inlineStr">
        <is>
          <t>177265238610.2330.5322627400343854872@mails.hire.trakstar.com</t>
        </is>
      </c>
      <c r="B28" t="inlineStr">
        <is>
          <t>thank you - application received|pvrea.hire.trakstar.com</t>
        </is>
      </c>
      <c r="C28" s="7" t="n">
        <v>46085.81002314815</v>
      </c>
      <c r="D28" t="inlineStr">
        <is>
          <t>agavito@pvrea.hire.trakstar.com</t>
        </is>
      </c>
      <c r="E28" s="4" t="inlineStr">
        <is>
          <t>Thank You - Application Received</t>
        </is>
      </c>
      <c r="F28" t="inlineStr">
        <is>
          <t>ApplicationConfirmation</t>
        </is>
      </c>
      <c r="G28" t="inlineStr">
        <is>
          <t>54d592d0a0e648fa</t>
        </is>
      </c>
      <c r="H28" t="inlineStr">
        <is>
          <t>rule:ApplicationConfirmation</t>
        </is>
      </c>
      <c r="I28" s="4" t="inlineStr">
        <is>
          <t>Dear Cole,
Thank you for your interest in the AI &amp; BI Specialist position at Poudre
Valley REA.
All application materials are reviewed in a timely fashion and successful
applicants will be contacted to begin the interview process. All of our
positions are open until filled. Our</t>
        </is>
      </c>
    </row>
    <row r="29">
      <c r="A29" t="inlineStr">
        <is>
          <t>b4eeyw1unsu4.98n6da9jjcii2@7f6f0e9637d8</t>
        </is>
      </c>
      <c r="B29" t="inlineStr">
        <is>
          <t>application received - analyst i, gis/req8358|fcgov.com</t>
        </is>
      </c>
      <c r="C29" s="7" t="n">
        <v>46085.80552083333</v>
      </c>
      <c r="D29" t="inlineStr">
        <is>
          <t>no_reply@fcgov.com</t>
        </is>
      </c>
      <c r="E29" s="4" t="inlineStr">
        <is>
          <t>Application Received - Analyst I, GIS/req8358</t>
        </is>
      </c>
      <c r="F29" t="inlineStr">
        <is>
          <t>ApplicationConfirmation</t>
        </is>
      </c>
      <c r="G29" t="inlineStr">
        <is>
          <t>a0cf61a1918e98fc</t>
        </is>
      </c>
      <c r="H29" t="inlineStr">
        <is>
          <t>rule:ApplicationConfirmation</t>
        </is>
      </c>
      <c r="I29" s="4" t="inlineStr">
        <is>
          <t>&lt;font face="Verdana" style="font-size: 10pt;"&gt;&lt;p style="text-align: center;"&gt;&lt;img src="https://fcgov.csod.com/clientimg/fcgov/emailUploads/city%20of%20fort%20collins%20logo%20-%20city%20blue.jpg" style="text-align: center;" width="300" height="124"&gt;&lt;/p&gt;&lt;p&gt;Dear Cole Spyksma,&lt;br&gt;&lt;b</t>
        </is>
      </c>
    </row>
    <row r="30">
      <c r="A30" t="inlineStr">
        <is>
          <t>ugsdcbpfquijeaqjh3i4eg@geopod-ismtpd-canary-0</t>
        </is>
      </c>
      <c r="B30" t="inlineStr">
        <is>
          <t>welcome to randstad!|randstadusa.com</t>
        </is>
      </c>
      <c r="C30" s="7" t="n">
        <v>46085.8006712963</v>
      </c>
      <c r="D30" t="inlineStr">
        <is>
          <t>no-reply@randstadusa.com</t>
        </is>
      </c>
      <c r="E30" s="4" t="inlineStr">
        <is>
          <t>Welcome to Randstad!</t>
        </is>
      </c>
      <c r="F30" t="inlineStr">
        <is>
          <t>Opportunity</t>
        </is>
      </c>
      <c r="G30" t="inlineStr">
        <is>
          <t>e0da5fc080763086</t>
        </is>
      </c>
      <c r="H30" t="inlineStr">
        <is>
          <t>rule:Opportunity</t>
        </is>
      </c>
      <c r="I30" s="4" t="inlineStr">
        <is>
          <t>Next Steps
 Thanks so much for applying! We've received your application and will review 
it carefully. Our team will be in touch with you about the next steps. We 
appreciate your patience as we review your submission.
You may also want to sign up for our jobs app to re</t>
        </is>
      </c>
    </row>
    <row r="31">
      <c r="A31" t="inlineStr">
        <is>
          <t>fsdbdkcittwwv3qqjxs_vw@geopod-ismtpd-21</t>
        </is>
      </c>
      <c r="B31" t="inlineStr">
        <is>
          <t>cole spyksma thank you for applying with randstad usa|randstadusa.com</t>
        </is>
      </c>
      <c r="C31" s="7" t="n">
        <v>46085.80003472222</v>
      </c>
      <c r="D31" t="inlineStr">
        <is>
          <t>donotreply@randstadusa.com</t>
        </is>
      </c>
      <c r="E31" s="4" t="inlineStr">
        <is>
          <t>Cole Spyksma thank you for applying with Randstad USA</t>
        </is>
      </c>
      <c r="F31" t="inlineStr">
        <is>
          <t>ApplicationConfirmation</t>
        </is>
      </c>
      <c r="G31" t="inlineStr">
        <is>
          <t>4d7416dc12932353</t>
        </is>
      </c>
      <c r="H31" t="inlineStr">
        <is>
          <t>rule:ApplicationConfirmation</t>
        </is>
      </c>
      <c r="I31" s="4" t="inlineStr">
        <is>
          <t>&lt;!DOCTYPE HTML PUBLIC "-//W3C//DTD XHTML 1.0 Transitional//EN" "http://www.w3.org/TR/xhtml1/DTD/xhtml1-transitional.dtd"&gt;
&lt;html xmlns="http://www.w3.org/1999/xhtml"&gt;
&lt;head&gt;
    &lt;!-- If you delete this meta tag, Half Life 3 will never be released. --&gt;
    &lt;meta name="viewport" con</t>
        </is>
      </c>
    </row>
    <row r="32">
      <c r="A32" t="inlineStr">
        <is>
          <t>0100019cba1a2491-d1a077cb-f048-4565-bdf9-02d8df08cd4f-000000@email.amazonses.com</t>
        </is>
      </c>
      <c r="B32" t="inlineStr">
        <is>
          <t>sierra space | application update | r25345 program cost scheduling &amp; control analyst i|myworkday.com</t>
        </is>
      </c>
      <c r="C32" s="7" t="n">
        <v>46085.7685300926</v>
      </c>
      <c r="D32" t="inlineStr">
        <is>
          <t>sierraspace@myworkday.com</t>
        </is>
      </c>
      <c r="E32" s="4" t="inlineStr">
        <is>
          <t>Sierra Space | Application Update | R25345 Program Cost Scheduling
 &amp; Control Analyst I</t>
        </is>
      </c>
      <c r="F32" t="inlineStr">
        <is>
          <t>ApplicationConfirmation</t>
        </is>
      </c>
      <c r="G32" t="inlineStr">
        <is>
          <t>52ebce6deb2606d3</t>
        </is>
      </c>
      <c r="H32" t="inlineStr">
        <is>
          <t>rule:ApplicationConfirmation</t>
        </is>
      </c>
      <c r="I32" s="4" t="inlineStr">
        <is>
          <t>Sierra Space | Application Update | R25345 Program Cost Scheduling
 &amp; Control Analyst I</t>
        </is>
      </c>
    </row>
    <row r="33">
      <c r="A33" t="inlineStr">
        <is>
          <t>20260303232802.229c41d1af112c59@us.greenhouse-mail.io</t>
        </is>
      </c>
      <c r="B33" t="inlineStr">
        <is>
          <t>thank you for applying to cribl - data analyst!|us.greenhouse-mail.io</t>
        </is>
      </c>
      <c r="C33" s="7" t="n">
        <v>46084.97780092592</v>
      </c>
      <c r="D33" t="inlineStr">
        <is>
          <t>no-reply@us.greenhouse-mail.io</t>
        </is>
      </c>
      <c r="E33" s="4" t="inlineStr">
        <is>
          <t>Thank you for applying to Cribl - Data Analyst!</t>
        </is>
      </c>
      <c r="F33" t="inlineStr">
        <is>
          <t>InterviewRequest</t>
        </is>
      </c>
      <c r="G33" t="inlineStr">
        <is>
          <t>4faf7dc5587fc456</t>
        </is>
      </c>
      <c r="H33" t="inlineStr">
        <is>
          <t>rule:InterviewRequest</t>
        </is>
      </c>
      <c r="I33" s="4" t="inlineStr">
        <is>
          <t>Hi Cole,
Thank you for your interest in the Data Analyst role at Cribl - your application has been received! ✅
What to Expect
At Cribl, we take great care in hiring the best. We value your time and strive to create the best possible candidate experience. If your background and</t>
        </is>
      </c>
    </row>
    <row r="34">
      <c r="A34" t="inlineStr">
        <is>
          <t>9bfb9a03-dd0f-4119-9dc9-e77fbafaac4e@connect.goarya.com</t>
        </is>
      </c>
      <c r="B34" t="inlineStr">
        <is>
          <t>job opportunity as program specialist|spectraforce.com</t>
        </is>
      </c>
      <c r="C34" s="7" t="n">
        <v>46084.96399305556</v>
      </c>
      <c r="D34" t="inlineStr">
        <is>
          <t>aarushi.s@spectraforce.com</t>
        </is>
      </c>
      <c r="E34" s="4" t="inlineStr">
        <is>
          <t>Job opportunity as Program Specialist</t>
        </is>
      </c>
      <c r="F34" t="inlineStr">
        <is>
          <t>Opportunity</t>
        </is>
      </c>
      <c r="G34" t="inlineStr">
        <is>
          <t>1c0d7215e580263b</t>
        </is>
      </c>
      <c r="H34" t="inlineStr">
        <is>
          <t>rule:Opportunity</t>
        </is>
      </c>
      <c r="I34" s="4" t="inlineStr">
        <is>
          <t>&lt;!doctype html&gt;&lt;html xmlns="http://www.w3.org/1999/xhtml" xmlns:v="urn:schemas-microsoft-com:vml" xmlns:o="urn:schemas-microsoft-com:office:office"&gt;&lt;head&gt;&lt;title&gt;&lt;/title&gt;&lt;!--[if !mso]&gt;&lt;!--&gt;&lt;meta http-equiv="X-UA-Compatible" content="IE=edge"&gt;&lt;!--&lt;![endif]--&gt;&lt;meta http-equiv="Conte</t>
        </is>
      </c>
    </row>
    <row r="35">
      <c r="A35" t="inlineStr">
        <is>
          <t>0100019cb59ff965-7e6c5470-249d-4796-a796-442b0cb7fda3-000000@email.amazonses.com</t>
        </is>
      </c>
      <c r="B35" t="inlineStr">
        <is>
          <t>crusoe | application received|ashbyhq.com</t>
        </is>
      </c>
      <c r="C35" s="7" t="n">
        <v>46084.89914351852</v>
      </c>
      <c r="D35" t="inlineStr">
        <is>
          <t>no-reply@ashbyhq.com</t>
        </is>
      </c>
      <c r="E35" s="4" t="inlineStr">
        <is>
          <t>Crusoe | Application Received</t>
        </is>
      </c>
      <c r="F35" t="inlineStr">
        <is>
          <t>ApplicationConfirmation</t>
        </is>
      </c>
      <c r="G35" t="inlineStr">
        <is>
          <t>14229e2186585870</t>
        </is>
      </c>
      <c r="H35" t="inlineStr">
        <is>
          <t>rule:ApplicationConfirmation</t>
        </is>
      </c>
      <c r="I35" s="4" t="inlineStr">
        <is>
          <t xml:space="preserve">Hi Cole,
Thank you for applying to our role: Procurement Data Analyst. We appreciate your interest in joining the team! We will review your application shortly. If you are given further consideration for any open positions, you will be contacted by our recruiting team.
All the </t>
        </is>
      </c>
    </row>
    <row r="36">
      <c r="A36" t="inlineStr">
        <is>
          <t>20260303211002.1852b3316e9da2ad@us.greenhouse-mail.io</t>
        </is>
      </c>
      <c r="B36" t="inlineStr">
        <is>
          <t>thank you for applying to care access|us.greenhouse-mail.io</t>
        </is>
      </c>
      <c r="C36" s="7" t="n">
        <v>46084.88196759259</v>
      </c>
      <c r="D36" t="inlineStr">
        <is>
          <t>no-reply@us.greenhouse-mail.io</t>
        </is>
      </c>
      <c r="E36" s="4" t="inlineStr">
        <is>
          <t>Thank you for applying to Care Access</t>
        </is>
      </c>
      <c r="F36" t="inlineStr">
        <is>
          <t>ApplicationConfirmation</t>
        </is>
      </c>
      <c r="G36" t="inlineStr">
        <is>
          <t>1c8a4617901ec1a2</t>
        </is>
      </c>
      <c r="H36" t="inlineStr">
        <is>
          <t>rule:ApplicationConfirmation</t>
        </is>
      </c>
      <c r="I36" s="4" t="inlineStr">
        <is>
          <t xml:space="preserve">Cole,
Thanks for applying to Care Access. Your application has been received and we will review it right away.
If your application seems like a good fit for the position we will contact you soon.
Regards,
Care Access
** Please note: Do not reply to this email. This email is </t>
        </is>
      </c>
    </row>
    <row r="37">
      <c r="A37" t="inlineStr">
        <is>
          <t>0100019cb586bcd4-9bf047d6-9903-47d5-be67-985d52db5c7b-000000@email.amazonses.com</t>
        </is>
      </c>
      <c r="B37" t="inlineStr">
        <is>
          <t>thank you for applying!|myworkday.com</t>
        </is>
      </c>
      <c r="C37" s="7" t="n">
        <v>46084.88</v>
      </c>
      <c r="D37" t="inlineStr">
        <is>
          <t>baldwin@myworkday.com</t>
        </is>
      </c>
      <c r="E37" s="4" t="inlineStr">
        <is>
          <t>Thank You For Applying!</t>
        </is>
      </c>
      <c r="F37" t="inlineStr">
        <is>
          <t>ApplicationConfirmation</t>
        </is>
      </c>
      <c r="G37" t="inlineStr">
        <is>
          <t>ffc4510236fa14b9</t>
        </is>
      </c>
      <c r="H37" t="inlineStr">
        <is>
          <t>rule:ApplicationConfirmation</t>
        </is>
      </c>
      <c r="I37" s="4" t="inlineStr">
        <is>
          <t>Thank You For Applying!</t>
        </is>
      </c>
    </row>
    <row r="38">
      <c r="A38" t="inlineStr">
        <is>
          <t>1721236609.178796.1772565954606@pc41bsub107.dc041.sf.priv.sapsf.com</t>
        </is>
      </c>
      <c r="B38" t="inlineStr">
        <is>
          <t>seagate technology application confirmation - supply chain data scientist (13457)|sap.hr.ext.seagate.com</t>
        </is>
      </c>
      <c r="C38" s="7" t="n">
        <v>46084.80965277777</v>
      </c>
      <c r="D38" t="inlineStr">
        <is>
          <t>seagate.sapsuccessfactors@sap.hr.ext.seagate.com</t>
        </is>
      </c>
      <c r="E38" s="4" t="inlineStr">
        <is>
          <t>Seagate Technology Application Confirmation - Supply Chain Data
 Scientist (13457)</t>
        </is>
      </c>
      <c r="F38" t="inlineStr">
        <is>
          <t>Rejection</t>
        </is>
      </c>
      <c r="G38" t="inlineStr">
        <is>
          <t>f96cc7ed8b95f1a8</t>
        </is>
      </c>
      <c r="H38" t="inlineStr">
        <is>
          <t>rule:Rejection</t>
        </is>
      </c>
      <c r="I38" s="4" t="inlineStr">
        <is>
          <t>&lt;p&gt;&lt;a href="https://hcm41.sapsf.com/seagatetecD/Banner+Seagate.png" target="_self"&gt;&lt;img alt="" src="https://hcm41.sapsf.com/seagatetecD/Banner+Seagate.png" /&gt;&lt;/a&gt;&lt;/p&gt;
&lt;p&gt;&lt;br /&gt;
Hello &lt;span contenteditable="false"&gt;Cole&lt;/span&gt;,&lt;/p&gt;
&lt;p&gt;&amp;nbsp;&lt;/p&gt;
&lt;p&gt;Thank you for your interest in</t>
        </is>
      </c>
    </row>
    <row r="39">
      <c r="A39" t="inlineStr">
        <is>
          <t>0100019cb51b17ca-39a3a5b6-4ed9-46c8-8d25-fcedf289eb16-000000@email.amazonses.com</t>
        </is>
      </c>
      <c r="B39" t="inlineStr">
        <is>
          <t>thank you for applying!|myworkday.com</t>
        </is>
      </c>
      <c r="C39" s="7" t="n">
        <v>46084.79834490741</v>
      </c>
      <c r="D39" t="inlineStr">
        <is>
          <t>sierraspace@myworkday.com</t>
        </is>
      </c>
      <c r="E39" s="4" t="inlineStr">
        <is>
          <t>Thank You For Applying!</t>
        </is>
      </c>
      <c r="F39" t="inlineStr">
        <is>
          <t>ApplicationConfirmation</t>
        </is>
      </c>
      <c r="G39" t="inlineStr">
        <is>
          <t>ffc4510236fa14b9</t>
        </is>
      </c>
      <c r="H39" t="inlineStr">
        <is>
          <t>rule:ApplicationConfirmation</t>
        </is>
      </c>
      <c r="I39" s="4" t="inlineStr">
        <is>
          <t>Thank You For Applying!</t>
        </is>
      </c>
    </row>
    <row r="40">
      <c r="A40" t="inlineStr">
        <is>
          <t>1349862818.14667550.1772382348164@lor1-app114876.prod.linkedin.com</t>
        </is>
      </c>
      <c r="B40" t="inlineStr">
        <is>
          <t>your application to fp&amp;a manager at hunter douglas, inc.|linkedin.com</t>
        </is>
      </c>
      <c r="C40" s="7" t="n">
        <v>46082.68458333334</v>
      </c>
      <c r="D40" t="inlineStr">
        <is>
          <t>jobs-noreply@linkedin.com</t>
        </is>
      </c>
      <c r="E40" s="4" t="inlineStr">
        <is>
          <t>Your application to FP&amp;A Manager at Hunter Douglas, Inc.</t>
        </is>
      </c>
      <c r="F40" t="inlineStr">
        <is>
          <t>ApplicationConfirmation</t>
        </is>
      </c>
      <c r="G40" t="inlineStr">
        <is>
          <t>756ada1a2146897e</t>
        </is>
      </c>
      <c r="H40" t="inlineStr">
        <is>
          <t>rule:ApplicationConfirmation</t>
        </is>
      </c>
      <c r="I40" s="4" t="inlineStr">
        <is>
          <t>Your update from Hunter Douglas, Inc.
----------------------------------------
This email was intended for Cole Spyksma (B.S. Statistics and Data Science)
Learn why we included this: https://www.linkedin.com/help/linkedin/answer/4788?lang=en&amp;lipi=urn%3Ali%3Apage%3Aemail_email_j</t>
        </is>
      </c>
    </row>
    <row r="41">
      <c r="A41" t="inlineStr">
        <is>
          <t>972252020.21432713.1772300195149@lva1-app47440.prod.linkedin.com</t>
        </is>
      </c>
      <c r="B41" t="inlineStr">
        <is>
          <t>your application to data analyst – advanced excel / power query / power pivot at hirewell|linkedin.com</t>
        </is>
      </c>
      <c r="C41" s="7" t="n">
        <v>46081.73373842592</v>
      </c>
      <c r="D41" t="inlineStr">
        <is>
          <t>jobs-noreply@linkedin.com</t>
        </is>
      </c>
      <c r="E41" s="4" t="inlineStr">
        <is>
          <t>Your application to Data Analyst – Advanced Excel / Power Query / Power Pivot at Hirewell</t>
        </is>
      </c>
      <c r="F41" t="inlineStr">
        <is>
          <t>ApplicationConfirmation</t>
        </is>
      </c>
      <c r="G41" t="inlineStr">
        <is>
          <t>0d2b66c1536f3c39</t>
        </is>
      </c>
      <c r="H41" t="inlineStr">
        <is>
          <t>rule:ApplicationConfirmation</t>
        </is>
      </c>
      <c r="I41" s="4" t="inlineStr">
        <is>
          <t>Your update from Hirewell
----------------------------------------
This email was intended for Cole Spyksma (B.S. Statistics and Data Science)
Learn why we included this: https://www.linkedin.com/help/linkedin/answer/4788?lang=en&amp;lipi=urn%3Ali%3Apage%3Aemail_email_jobs_applicat</t>
        </is>
      </c>
    </row>
    <row r="42">
      <c r="A42" t="inlineStr">
        <is>
          <t>0100019c9c3fd8a0-6825826e-ac5c-47e5-bfdb-0367fbc47e8e-000000@email.amazonses.com</t>
        </is>
      </c>
      <c r="B42" t="inlineStr">
        <is>
          <t>update on your job application|myworkday.com</t>
        </is>
      </c>
      <c r="C42" s="7" t="n">
        <v>46079.97170138889</v>
      </c>
      <c r="D42" t="inlineStr">
        <is>
          <t>justfab@myworkday.com</t>
        </is>
      </c>
      <c r="E42" s="4" t="inlineStr">
        <is>
          <t>Update on your job application</t>
        </is>
      </c>
      <c r="F42" t="inlineStr">
        <is>
          <t>ApplicationConfirmation</t>
        </is>
      </c>
      <c r="G42" t="inlineStr">
        <is>
          <t>d4c2e1de4271abdc</t>
        </is>
      </c>
      <c r="H42" t="inlineStr">
        <is>
          <t>rule:ApplicationConfirmation</t>
        </is>
      </c>
      <c r="I42" s="4" t="inlineStr">
        <is>
          <t>Update on your job application</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24" customWidth="1" min="1" max="1"/>
    <col width="14" customWidth="1" min="2" max="2"/>
    <col width="28" customWidth="1" min="4" max="4"/>
    <col width="14" customWidth="1" min="5" max="5"/>
  </cols>
  <sheetData>
    <row r="1">
      <c r="A1" s="8" t="inlineStr">
        <is>
          <t>Job Tracker Dashboard</t>
        </is>
      </c>
    </row>
    <row r="3">
      <c r="A3" s="9" t="inlineStr">
        <is>
          <t>Metrics</t>
        </is>
      </c>
    </row>
    <row r="4">
      <c r="A4" t="inlineStr">
        <is>
          <t>Total Records</t>
        </is>
      </c>
      <c r="B4" t="n">
        <v>39</v>
      </c>
    </row>
    <row r="5">
      <c r="A5" t="inlineStr">
        <is>
          <t>Applied</t>
        </is>
      </c>
      <c r="B5" t="n">
        <v>16</v>
      </c>
    </row>
    <row r="6">
      <c r="A6" t="inlineStr">
        <is>
          <t>Interview</t>
        </is>
      </c>
      <c r="B6" t="n">
        <v>6</v>
      </c>
    </row>
    <row r="7">
      <c r="A7" t="inlineStr">
        <is>
          <t>Offer</t>
        </is>
      </c>
      <c r="B7" t="n">
        <v>0</v>
      </c>
    </row>
    <row r="8">
      <c r="A8" t="inlineStr">
        <is>
          <t>Rejected</t>
        </is>
      </c>
      <c r="B8" t="n">
        <v>7</v>
      </c>
    </row>
    <row r="9">
      <c r="A9" t="inlineStr">
        <is>
          <t>NeedsReview</t>
        </is>
      </c>
      <c r="B9" t="n">
        <v>0</v>
      </c>
    </row>
    <row r="11">
      <c r="A11" s="9" t="inlineStr">
        <is>
          <t>Status Counts</t>
        </is>
      </c>
      <c r="D11" s="9" t="inlineStr">
        <is>
          <t>Applications by Source</t>
        </is>
      </c>
    </row>
    <row r="12">
      <c r="A12" t="inlineStr">
        <is>
          <t>Applied</t>
        </is>
      </c>
      <c r="B12" t="n">
        <v>16</v>
      </c>
      <c r="D12" t="inlineStr">
        <is>
          <t>Company Site</t>
        </is>
      </c>
      <c r="E12" t="n">
        <v>31</v>
      </c>
    </row>
    <row r="13">
      <c r="A13" t="inlineStr">
        <is>
          <t>Opportunity</t>
        </is>
      </c>
      <c r="B13" t="n">
        <v>10</v>
      </c>
      <c r="D13" t="inlineStr">
        <is>
          <t>LinkedIn</t>
        </is>
      </c>
      <c r="E13" t="n">
        <v>7</v>
      </c>
    </row>
    <row r="14">
      <c r="A14" t="inlineStr">
        <is>
          <t>Rejected</t>
        </is>
      </c>
      <c r="B14" t="n">
        <v>7</v>
      </c>
      <c r="D14" t="inlineStr">
        <is>
          <t>Indeed</t>
        </is>
      </c>
      <c r="E14" t="n">
        <v>1</v>
      </c>
    </row>
    <row r="15">
      <c r="A15" t="inlineStr">
        <is>
          <t>Interview</t>
        </is>
      </c>
      <c r="B15" t="n">
        <v>6</v>
      </c>
    </row>
    <row r="20">
      <c r="A20" s="9" t="inlineStr">
        <is>
          <t>Color Legend</t>
        </is>
      </c>
    </row>
    <row r="21">
      <c r="A21" t="inlineStr">
        <is>
          <t>Interview / Offer</t>
        </is>
      </c>
      <c r="B21" s="10" t="inlineStr"/>
    </row>
    <row r="22">
      <c r="A22" t="inlineStr">
        <is>
          <t>Applied</t>
        </is>
      </c>
      <c r="B22" s="11" t="inlineStr"/>
    </row>
    <row r="23">
      <c r="A23" t="inlineStr">
        <is>
          <t>Rejected</t>
        </is>
      </c>
      <c r="B23" s="12" t="inlineStr"/>
    </row>
    <row r="24">
      <c r="A24" t="inlineStr">
        <is>
          <t>NeedsReview</t>
        </is>
      </c>
      <c r="B24" s="13" t="inlineStr"/>
    </row>
    <row r="25">
      <c r="A25" t="inlineStr">
        <is>
          <t>Closed</t>
        </is>
      </c>
      <c r="B25" s="14" t="inlineStr"/>
    </row>
    <row r="26">
      <c r="A26" t="inlineStr">
        <is>
          <t>FollowUpDue &lt;= 3 days</t>
        </is>
      </c>
      <c r="B26" s="13" t="inlineStr"/>
    </row>
    <row r="27">
      <c r="A27" t="inlineStr">
        <is>
          <t>FollowUpDue overdue</t>
        </is>
      </c>
      <c r="B27" s="12" t="inlineStr"/>
    </row>
    <row r="28">
      <c r="A28" t="inlineStr">
        <is>
          <t>DaysSinceLastEmail &gt;= 7</t>
        </is>
      </c>
      <c r="B28" s="15" t="inlineStr"/>
    </row>
    <row r="29">
      <c r="A29" t="inlineStr">
        <is>
          <t>DaysSinceLastEmail &gt;= 14</t>
        </is>
      </c>
      <c r="B29" s="12"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2026-03-13T16:27:41Z</dcterms:created>
  <dcterms:modified xsi:type="dcterms:W3CDTF">2026-03-13T16:27:41Z</dcterms:modified>
</cp:coreProperties>
</file>